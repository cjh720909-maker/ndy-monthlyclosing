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Z:\S2026\정산\"/>
    </mc:Choice>
  </mc:AlternateContent>
  <xr:revisionPtr revIDLastSave="0" documentId="13_ncr:1_{686415AE-C5F4-4B24-96B8-A9E84BBD9676}" xr6:coauthVersionLast="36" xr6:coauthVersionMax="36" xr10:uidLastSave="{00000000-0000-0000-0000-000000000000}"/>
  <bookViews>
    <workbookView xWindow="0" yWindow="0" windowWidth="23040" windowHeight="8850" tabRatio="839" xr2:uid="{00000000-000D-0000-FFFF-FFFF00000000}"/>
  </bookViews>
  <sheets>
    <sheet name="1월" sheetId="118" r:id="rId1"/>
    <sheet name="운임및AR" sheetId="21" r:id="rId2"/>
    <sheet name="2026" sheetId="117" r:id="rId3"/>
    <sheet name="12월" sheetId="116" r:id="rId4"/>
    <sheet name="이룸용차비" sheetId="71" r:id="rId5"/>
    <sheet name="고정비차량" sheetId="9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118" l="1"/>
  <c r="B19" i="21" l="1"/>
  <c r="C53" i="118"/>
  <c r="G32" i="118" l="1"/>
  <c r="C27" i="118"/>
  <c r="G53" i="118" l="1"/>
  <c r="G36" i="118"/>
  <c r="H33" i="118"/>
  <c r="G33" i="118" s="1"/>
  <c r="C33" i="118" s="1"/>
  <c r="C32" i="118"/>
  <c r="H31" i="118"/>
  <c r="C31" i="118" s="1"/>
  <c r="G31" i="118"/>
  <c r="H30" i="118"/>
  <c r="C30" i="118" s="1"/>
  <c r="H29" i="118"/>
  <c r="C29" i="118" s="1"/>
  <c r="G29" i="118"/>
  <c r="H28" i="118"/>
  <c r="C28" i="118"/>
  <c r="H27" i="118"/>
  <c r="H26" i="118"/>
  <c r="C26" i="118"/>
  <c r="H25" i="118"/>
  <c r="C25" i="118"/>
  <c r="G12" i="118"/>
  <c r="C12" i="118" s="1"/>
  <c r="G11" i="118"/>
  <c r="C11" i="118" s="1"/>
  <c r="G9" i="118"/>
  <c r="C9" i="118" s="1"/>
  <c r="G8" i="118"/>
  <c r="C8" i="118" s="1"/>
  <c r="G6" i="118"/>
  <c r="E63" i="117"/>
  <c r="D63" i="117"/>
  <c r="F61" i="117"/>
  <c r="F60" i="117"/>
  <c r="F59" i="117"/>
  <c r="F58" i="117"/>
  <c r="F57" i="117"/>
  <c r="F56" i="117"/>
  <c r="F55" i="117"/>
  <c r="F54" i="117"/>
  <c r="F63" i="117" s="1"/>
  <c r="E50" i="117"/>
  <c r="D50" i="117"/>
  <c r="F37" i="117"/>
  <c r="E37" i="117"/>
  <c r="G30" i="118" l="1"/>
  <c r="G52" i="116"/>
  <c r="G36" i="116"/>
  <c r="H33" i="116"/>
  <c r="G33" i="116"/>
  <c r="C33" i="116" s="1"/>
  <c r="G32" i="116"/>
  <c r="C32" i="116" s="1"/>
  <c r="H31" i="116"/>
  <c r="C31" i="116" s="1"/>
  <c r="G31" i="116"/>
  <c r="H30" i="116"/>
  <c r="C30" i="116" s="1"/>
  <c r="H29" i="116"/>
  <c r="G29" i="116"/>
  <c r="C29" i="116"/>
  <c r="H28" i="116"/>
  <c r="C28" i="116" s="1"/>
  <c r="H27" i="116"/>
  <c r="C27" i="116"/>
  <c r="H26" i="116"/>
  <c r="C26" i="116" s="1"/>
  <c r="H25" i="116"/>
  <c r="G25" i="116"/>
  <c r="C25" i="116" s="1"/>
  <c r="G12" i="116"/>
  <c r="C12" i="116" s="1"/>
  <c r="G11" i="116"/>
  <c r="C11" i="116" s="1"/>
  <c r="G9" i="116"/>
  <c r="C9" i="116" s="1"/>
  <c r="G8" i="116"/>
  <c r="C8" i="116" s="1"/>
  <c r="G6" i="116"/>
  <c r="G30" i="116" l="1"/>
  <c r="H33" i="21" l="1"/>
  <c r="D32" i="21"/>
  <c r="H32" i="21" s="1"/>
  <c r="H31" i="21"/>
  <c r="G31" i="21"/>
  <c r="H30" i="21"/>
  <c r="G30" i="21"/>
  <c r="H29" i="21"/>
  <c r="G29" i="21"/>
  <c r="H28" i="21"/>
  <c r="G28" i="21"/>
  <c r="H27" i="21"/>
  <c r="G27" i="21"/>
  <c r="C8" i="21"/>
  <c r="D8" i="21" s="1"/>
  <c r="E8" i="21"/>
  <c r="F8" i="21"/>
  <c r="G8" i="21" l="1"/>
  <c r="G32" i="21"/>
  <c r="C10" i="9" l="1"/>
  <c r="C12" i="9" s="1"/>
  <c r="D10" i="9"/>
  <c r="B10" i="9"/>
  <c r="B13" i="9" s="1"/>
  <c r="D12" i="9" l="1"/>
  <c r="D13" i="9"/>
  <c r="D11" i="9"/>
  <c r="B12" i="9"/>
  <c r="C11" i="9"/>
  <c r="B11" i="9"/>
  <c r="C13" i="9"/>
  <c r="G13" i="21" l="1"/>
  <c r="G12" i="21"/>
  <c r="H14" i="21"/>
  <c r="G17" i="21"/>
  <c r="G16" i="21"/>
  <c r="G15" i="21"/>
  <c r="H19" i="21"/>
  <c r="H16" i="21"/>
  <c r="H15" i="21"/>
  <c r="H17" i="21" l="1"/>
  <c r="H12" i="21"/>
  <c r="H13" i="21"/>
  <c r="G14" i="21"/>
  <c r="C7" i="21" l="1"/>
  <c r="G7" i="21" s="1"/>
  <c r="C6" i="21"/>
  <c r="D6" i="21" s="1"/>
  <c r="C5" i="21"/>
  <c r="E5" i="21" s="1"/>
  <c r="C4" i="21"/>
  <c r="G4" i="21" s="1"/>
  <c r="F4" i="21" l="1"/>
  <c r="E4" i="21"/>
  <c r="F5" i="21"/>
  <c r="D7" i="21"/>
  <c r="E6" i="21"/>
  <c r="E7" i="21"/>
  <c r="D4" i="21"/>
  <c r="F6" i="21"/>
  <c r="F7" i="21"/>
  <c r="G5" i="21"/>
  <c r="D5" i="21"/>
  <c r="G6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7" authorId="0" shapeId="0" xr:uid="{232ABD53-B35C-4D53-A3BC-3776DECC362B}">
      <text>
        <r>
          <rPr>
            <b/>
            <sz val="9"/>
            <color indexed="81"/>
            <rFont val="돋움"/>
            <family val="3"/>
            <charset val="129"/>
          </rPr>
          <t>배봉준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장거리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고정편입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0" authorId="0" shapeId="0" xr:uid="{5556A9C4-F0DB-40BB-8D1A-EF8E0AE587D7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회전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통영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 xml:space="preserve">만
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다른차량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하차오류로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정기사님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교체해줌
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회전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회로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</t>
        </r>
      </text>
    </comment>
  </commentList>
</comments>
</file>

<file path=xl/sharedStrings.xml><?xml version="1.0" encoding="utf-8"?>
<sst xmlns="http://schemas.openxmlformats.org/spreadsheetml/2006/main" count="567" uniqueCount="352">
  <si>
    <t>단위(만원)</t>
    <phoneticPr fontId="3" type="noConversion"/>
  </si>
  <si>
    <r>
      <t>2</t>
    </r>
    <r>
      <rPr>
        <sz val="9"/>
        <color theme="1"/>
        <rFont val="굴림체"/>
        <family val="2"/>
        <charset val="129"/>
      </rPr>
      <t>6일 기준</t>
    </r>
    <phoneticPr fontId="3" type="noConversion"/>
  </si>
  <si>
    <t>패널티</t>
    <phoneticPr fontId="3" type="noConversion"/>
  </si>
  <si>
    <t>1톤</t>
    <phoneticPr fontId="3" type="noConversion"/>
  </si>
  <si>
    <t>2.5톤</t>
    <phoneticPr fontId="3" type="noConversion"/>
  </si>
  <si>
    <t>3.5톤</t>
    <phoneticPr fontId="3" type="noConversion"/>
  </si>
  <si>
    <t>5톤</t>
    <phoneticPr fontId="3" type="noConversion"/>
  </si>
  <si>
    <t>피킹 업무</t>
    <phoneticPr fontId="3" type="noConversion"/>
  </si>
  <si>
    <t>시간</t>
    <phoneticPr fontId="3" type="noConversion"/>
  </si>
  <si>
    <t>비고</t>
    <phoneticPr fontId="3" type="noConversion"/>
  </si>
  <si>
    <t>안동수</t>
    <phoneticPr fontId="3" type="noConversion"/>
  </si>
  <si>
    <t>야간</t>
    <phoneticPr fontId="3" type="noConversion"/>
  </si>
  <si>
    <t>4시간</t>
    <phoneticPr fontId="3" type="noConversion"/>
  </si>
  <si>
    <t>이성찬</t>
    <phoneticPr fontId="3" type="noConversion"/>
  </si>
  <si>
    <t>장거리수당</t>
    <phoneticPr fontId="3" type="noConversion"/>
  </si>
  <si>
    <t>하상수</t>
    <phoneticPr fontId="3" type="noConversion"/>
  </si>
  <si>
    <t>울산</t>
    <phoneticPr fontId="3" type="noConversion"/>
  </si>
  <si>
    <t>기사</t>
    <phoneticPr fontId="3" type="noConversion"/>
  </si>
  <si>
    <t>금액</t>
    <phoneticPr fontId="3" type="noConversion"/>
  </si>
  <si>
    <t>4시간30분</t>
    <phoneticPr fontId="3" type="noConversion"/>
  </si>
  <si>
    <t>기사</t>
    <phoneticPr fontId="5" type="noConversion"/>
  </si>
  <si>
    <t>주유비</t>
  </si>
  <si>
    <t>곽창호</t>
    <phoneticPr fontId="5" type="noConversion"/>
  </si>
  <si>
    <t>하절기 : 월/수/금 - 45L, 화/목/토 - 58L</t>
  </si>
  <si>
    <t>3~ 10월</t>
  </si>
  <si>
    <t>동절기 : 월/수/금 - 43L, 화/목/토 - 55L</t>
  </si>
  <si>
    <t>월수금</t>
    <phoneticPr fontId="3" type="noConversion"/>
  </si>
  <si>
    <t>화목토</t>
    <phoneticPr fontId="3" type="noConversion"/>
  </si>
  <si>
    <t>고정급 차량</t>
    <phoneticPr fontId="5" type="noConversion"/>
  </si>
  <si>
    <t>차량</t>
    <phoneticPr fontId="3" type="noConversion"/>
  </si>
  <si>
    <t>비고(일추정거리)</t>
    <phoneticPr fontId="5" type="noConversion"/>
  </si>
  <si>
    <t>11~2월</t>
    <phoneticPr fontId="3" type="noConversion"/>
  </si>
  <si>
    <t>구분</t>
    <phoneticPr fontId="3" type="noConversion"/>
  </si>
  <si>
    <t>안동수(23:00 ~ 03:30)</t>
  </si>
  <si>
    <t>오갑세(23:00 ~ 03:30)</t>
  </si>
  <si>
    <t>손호민(24:00 ~ 04:00)</t>
  </si>
  <si>
    <t>배봉준</t>
    <phoneticPr fontId="3" type="noConversion"/>
  </si>
  <si>
    <t>비고2</t>
    <phoneticPr fontId="3" type="noConversion"/>
  </si>
  <si>
    <t>3시간</t>
  </si>
  <si>
    <t>마감자료</t>
    <phoneticPr fontId="3" type="noConversion"/>
  </si>
  <si>
    <t>배송권역</t>
    <phoneticPr fontId="3" type="noConversion"/>
  </si>
  <si>
    <r>
      <t xml:space="preserve">단위 </t>
    </r>
    <r>
      <rPr>
        <sz val="9"/>
        <color theme="1"/>
        <rFont val="굴림체"/>
        <family val="2"/>
        <charset val="129"/>
      </rPr>
      <t>: 만원</t>
    </r>
    <phoneticPr fontId="3" type="noConversion"/>
  </si>
  <si>
    <t>박근한</t>
    <phoneticPr fontId="3" type="noConversion"/>
  </si>
  <si>
    <t>추가수당</t>
    <phoneticPr fontId="3" type="noConversion"/>
  </si>
  <si>
    <t>고정비용</t>
    <phoneticPr fontId="3" type="noConversion"/>
  </si>
  <si>
    <t>단위 : 만원</t>
  </si>
  <si>
    <t>김태호</t>
    <phoneticPr fontId="3" type="noConversion"/>
  </si>
  <si>
    <t>회송비용</t>
    <phoneticPr fontId="3" type="noConversion"/>
  </si>
  <si>
    <r>
      <t xml:space="preserve">기본 </t>
    </r>
    <r>
      <rPr>
        <sz val="9"/>
        <color theme="1"/>
        <rFont val="굴림체"/>
        <family val="2"/>
        <charset val="129"/>
      </rPr>
      <t>2만원</t>
    </r>
    <phoneticPr fontId="3" type="noConversion"/>
  </si>
  <si>
    <r>
      <t>장거리 차량</t>
    </r>
    <r>
      <rPr>
        <sz val="9"/>
        <color theme="1"/>
        <rFont val="굴림체"/>
        <family val="2"/>
        <charset val="129"/>
      </rPr>
      <t xml:space="preserve"> 3만원</t>
    </r>
    <phoneticPr fontId="3" type="noConversion"/>
  </si>
  <si>
    <r>
      <t>제품 많을시</t>
    </r>
    <r>
      <rPr>
        <sz val="9"/>
        <color theme="1"/>
        <rFont val="굴림체"/>
        <family val="2"/>
        <charset val="129"/>
      </rPr>
      <t xml:space="preserve"> 4만원</t>
    </r>
    <phoneticPr fontId="3" type="noConversion"/>
  </si>
  <si>
    <t>500kg 이상</t>
    <phoneticPr fontId="3" type="noConversion"/>
  </si>
  <si>
    <t>상황따라 다름</t>
    <phoneticPr fontId="3" type="noConversion"/>
  </si>
  <si>
    <t>실제패널티</t>
    <phoneticPr fontId="3" type="noConversion"/>
  </si>
  <si>
    <t>기본</t>
    <phoneticPr fontId="3" type="noConversion"/>
  </si>
  <si>
    <t>신동철</t>
  </si>
  <si>
    <t>2회전차량</t>
    <phoneticPr fontId="3" type="noConversion"/>
  </si>
  <si>
    <t>이상훈</t>
    <phoneticPr fontId="3" type="noConversion"/>
  </si>
  <si>
    <t>2시간</t>
  </si>
  <si>
    <t>장거리 수당</t>
    <phoneticPr fontId="3" type="noConversion"/>
  </si>
  <si>
    <t>곽창호(사천, 남해)</t>
  </si>
  <si>
    <t>박병규(울산), 서광호(울산)</t>
    <phoneticPr fontId="3" type="noConversion"/>
  </si>
  <si>
    <t>25 - 남해수당</t>
  </si>
  <si>
    <t>총액</t>
    <phoneticPr fontId="3" type="noConversion"/>
  </si>
  <si>
    <t>김명균</t>
  </si>
  <si>
    <t>차감</t>
    <phoneticPr fontId="3" type="noConversion"/>
  </si>
  <si>
    <t>차감</t>
    <phoneticPr fontId="3" type="noConversion"/>
  </si>
  <si>
    <t>실금액</t>
    <phoneticPr fontId="3" type="noConversion"/>
  </si>
  <si>
    <t>손호민</t>
    <phoneticPr fontId="3" type="noConversion"/>
  </si>
  <si>
    <t>정효익</t>
    <phoneticPr fontId="3" type="noConversion"/>
  </si>
  <si>
    <t>오갑세</t>
    <phoneticPr fontId="3" type="noConversion"/>
  </si>
  <si>
    <t>시간당 37.5만</t>
    <phoneticPr fontId="3" type="noConversion"/>
  </si>
  <si>
    <t>장기수당10 포함 178.75</t>
    <phoneticPr fontId="3" type="noConversion"/>
  </si>
  <si>
    <t>장기수당10 포함  160</t>
    <phoneticPr fontId="3" type="noConversion"/>
  </si>
  <si>
    <t>시간당</t>
    <phoneticPr fontId="3" type="noConversion"/>
  </si>
  <si>
    <t>4시간 : 23:00 ~</t>
    <phoneticPr fontId="3" type="noConversion"/>
  </si>
  <si>
    <t>날짜</t>
  </si>
  <si>
    <t>기사</t>
  </si>
  <si>
    <t>확인</t>
    <phoneticPr fontId="3" type="noConversion"/>
  </si>
  <si>
    <t>결근및 특이사항</t>
  </si>
  <si>
    <t>운행일</t>
    <phoneticPr fontId="3" type="noConversion"/>
  </si>
  <si>
    <t>김선명</t>
    <phoneticPr fontId="3" type="noConversion"/>
  </si>
  <si>
    <t>송상식</t>
    <phoneticPr fontId="3" type="noConversion"/>
  </si>
  <si>
    <t xml:space="preserve">1톤 </t>
    <phoneticPr fontId="3" type="noConversion"/>
  </si>
  <si>
    <t>동일지역 +1만</t>
    <phoneticPr fontId="3" type="noConversion"/>
  </si>
  <si>
    <t>지역이동 +2만</t>
    <phoneticPr fontId="3" type="noConversion"/>
  </si>
  <si>
    <t>2.5, 3.5톤</t>
    <phoneticPr fontId="3" type="noConversion"/>
  </si>
  <si>
    <t>5톤</t>
    <phoneticPr fontId="3" type="noConversion"/>
  </si>
  <si>
    <t>11톤</t>
    <phoneticPr fontId="3" type="noConversion"/>
  </si>
  <si>
    <t>익일착</t>
    <phoneticPr fontId="3" type="noConversion"/>
  </si>
  <si>
    <t>수작업</t>
    <phoneticPr fontId="3" type="noConversion"/>
  </si>
  <si>
    <t>지역이동 +3만</t>
  </si>
  <si>
    <t>동일지역 +3만</t>
  </si>
  <si>
    <t>1~3.5톤 +3만</t>
    <phoneticPr fontId="3" type="noConversion"/>
  </si>
  <si>
    <t>5톤 +5만</t>
    <phoneticPr fontId="3" type="noConversion"/>
  </si>
  <si>
    <t>11톤 +8만</t>
    <phoneticPr fontId="3" type="noConversion"/>
  </si>
  <si>
    <t>1톤 2만</t>
    <phoneticPr fontId="3" type="noConversion"/>
  </si>
  <si>
    <t>2.5~3.5톤 4만</t>
    <phoneticPr fontId="3" type="noConversion"/>
  </si>
  <si>
    <t>5톤 7만</t>
    <phoneticPr fontId="3" type="noConversion"/>
  </si>
  <si>
    <t>11톤 9만</t>
    <phoneticPr fontId="3" type="noConversion"/>
  </si>
  <si>
    <t>동일지역 +1.5만</t>
    <phoneticPr fontId="3" type="noConversion"/>
  </si>
  <si>
    <t>지역이동 +5만</t>
    <phoneticPr fontId="3" type="noConversion"/>
  </si>
  <si>
    <t>동일지역 +5만</t>
    <phoneticPr fontId="3" type="noConversion"/>
  </si>
  <si>
    <t>지역이동 +7만</t>
    <phoneticPr fontId="3" type="noConversion"/>
  </si>
  <si>
    <t>1~1.4톤</t>
    <phoneticPr fontId="3" type="noConversion"/>
  </si>
  <si>
    <t>3.5톤
2.5톤(-1만원)</t>
    <phoneticPr fontId="3" type="noConversion"/>
  </si>
  <si>
    <t>5톤</t>
    <phoneticPr fontId="5" type="noConversion"/>
  </si>
  <si>
    <t>이룸 용차비용표</t>
    <phoneticPr fontId="3" type="noConversion"/>
  </si>
  <si>
    <t xml:space="preserve">         차량
지역</t>
    <phoneticPr fontId="5" type="noConversion"/>
  </si>
  <si>
    <t>김해</t>
    <phoneticPr fontId="3" type="noConversion"/>
  </si>
  <si>
    <t>부산, 양산</t>
    <phoneticPr fontId="3" type="noConversion"/>
  </si>
  <si>
    <t>창원</t>
    <phoneticPr fontId="3" type="noConversion"/>
  </si>
  <si>
    <t>함안</t>
    <phoneticPr fontId="3" type="noConversion"/>
  </si>
  <si>
    <t>창녕</t>
    <phoneticPr fontId="3" type="noConversion"/>
  </si>
  <si>
    <t>진주,사천</t>
    <phoneticPr fontId="3" type="noConversion"/>
  </si>
  <si>
    <t>고성</t>
    <phoneticPr fontId="3" type="noConversion"/>
  </si>
  <si>
    <t>통영</t>
    <phoneticPr fontId="3" type="noConversion"/>
  </si>
  <si>
    <t>거제</t>
    <phoneticPr fontId="3" type="noConversion"/>
  </si>
  <si>
    <t>경주</t>
    <phoneticPr fontId="3" type="noConversion"/>
  </si>
  <si>
    <t>영천</t>
    <phoneticPr fontId="3" type="noConversion"/>
  </si>
  <si>
    <t>포항</t>
    <phoneticPr fontId="3" type="noConversion"/>
  </si>
  <si>
    <t>경산, 대구</t>
    <phoneticPr fontId="3" type="noConversion"/>
  </si>
  <si>
    <t>칠곡</t>
    <phoneticPr fontId="3" type="noConversion"/>
  </si>
  <si>
    <t>구미</t>
    <phoneticPr fontId="3" type="noConversion"/>
  </si>
  <si>
    <t>김천</t>
    <phoneticPr fontId="3" type="noConversion"/>
  </si>
  <si>
    <t>하동</t>
    <phoneticPr fontId="3" type="noConversion"/>
  </si>
  <si>
    <t>남해</t>
    <phoneticPr fontId="3" type="noConversion"/>
  </si>
  <si>
    <t>3시간</t>
    <phoneticPr fontId="3" type="noConversion"/>
  </si>
  <si>
    <t>2023년 인상</t>
    <phoneticPr fontId="3" type="noConversion"/>
  </si>
  <si>
    <t>고정용차</t>
    <phoneticPr fontId="3" type="noConversion"/>
  </si>
  <si>
    <t>차감 차량</t>
  </si>
  <si>
    <t>피킹 및 고정비용</t>
    <phoneticPr fontId="3" type="noConversion"/>
  </si>
  <si>
    <t>메가피킹지원 10만</t>
    <phoneticPr fontId="3" type="noConversion"/>
  </si>
  <si>
    <t>일 4.5</t>
    <phoneticPr fontId="3" type="noConversion"/>
  </si>
  <si>
    <t>정주원</t>
  </si>
  <si>
    <t>1톤 연비</t>
    <phoneticPr fontId="3" type="noConversion"/>
  </si>
  <si>
    <t>340+140+50 =  520~550</t>
    <phoneticPr fontId="3" type="noConversion"/>
  </si>
  <si>
    <t>웰스토리 피박스 회수7만</t>
    <phoneticPr fontId="3" type="noConversion"/>
  </si>
  <si>
    <t>GS 토요일 배송월고정 40</t>
    <phoneticPr fontId="3" type="noConversion"/>
  </si>
  <si>
    <t>서광호</t>
  </si>
  <si>
    <t>부산하회</t>
  </si>
  <si>
    <t>190 + 10</t>
  </si>
  <si>
    <t>김종규</t>
  </si>
  <si>
    <t>양산새벽</t>
  </si>
  <si>
    <t>허현수</t>
  </si>
  <si>
    <t>김종두</t>
  </si>
  <si>
    <t>일 4만</t>
  </si>
  <si>
    <t>일 6만</t>
    <phoneticPr fontId="3" type="noConversion"/>
  </si>
  <si>
    <t>심철환</t>
    <phoneticPr fontId="3" type="noConversion"/>
  </si>
  <si>
    <t>2회전</t>
    <phoneticPr fontId="3" type="noConversion"/>
  </si>
  <si>
    <t>전채우</t>
  </si>
  <si>
    <t>전경동</t>
    <phoneticPr fontId="3" type="noConversion"/>
  </si>
  <si>
    <t>추가비용차량(회송포함)</t>
    <phoneticPr fontId="3" type="noConversion"/>
  </si>
  <si>
    <t>4시간30분 : 22:30~</t>
    <phoneticPr fontId="3" type="noConversion"/>
  </si>
  <si>
    <t>신현수</t>
    <phoneticPr fontId="3" type="noConversion"/>
  </si>
  <si>
    <t>서부산</t>
    <phoneticPr fontId="3" type="noConversion"/>
  </si>
  <si>
    <t>12월 17일부터 결근</t>
    <phoneticPr fontId="3" type="noConversion"/>
  </si>
  <si>
    <t>서광호</t>
    <phoneticPr fontId="3" type="noConversion"/>
  </si>
  <si>
    <t>2025년 1월부터 인상</t>
    <phoneticPr fontId="3" type="noConversion"/>
  </si>
  <si>
    <t>5톤 축차량</t>
    <phoneticPr fontId="3" type="noConversion"/>
  </si>
  <si>
    <t>일 5</t>
    <phoneticPr fontId="3" type="noConversion"/>
  </si>
  <si>
    <t>2024년</t>
    <phoneticPr fontId="3" type="noConversion"/>
  </si>
  <si>
    <t>2025년</t>
    <phoneticPr fontId="3" type="noConversion"/>
  </si>
  <si>
    <t>시간 40만</t>
    <phoneticPr fontId="3" type="noConversion"/>
  </si>
  <si>
    <t>시간당</t>
    <phoneticPr fontId="3" type="noConversion"/>
  </si>
  <si>
    <r>
      <rPr>
        <sz val="9"/>
        <color theme="1"/>
        <rFont val="굴림체"/>
        <family val="2"/>
        <charset val="129"/>
      </rPr>
      <t xml:space="preserve">기사추가 시간발생시 시간당 일괄 </t>
    </r>
    <r>
      <rPr>
        <b/>
        <sz val="9"/>
        <color theme="1"/>
        <rFont val="굴림체"/>
        <family val="3"/>
        <charset val="129"/>
      </rPr>
      <t>1.6</t>
    </r>
    <r>
      <rPr>
        <sz val="9"/>
        <color theme="1"/>
        <rFont val="굴림체"/>
        <family val="2"/>
        <charset val="129"/>
      </rPr>
      <t>만원 적용</t>
    </r>
    <phoneticPr fontId="3" type="noConversion"/>
  </si>
  <si>
    <t>1회전 8.5+콜2.5=11만 : 2회전=17만</t>
    <phoneticPr fontId="3" type="noConversion"/>
  </si>
  <si>
    <t>부산문현</t>
    <phoneticPr fontId="3" type="noConversion"/>
  </si>
  <si>
    <t>멀티</t>
    <phoneticPr fontId="3" type="noConversion"/>
  </si>
  <si>
    <t>180+장기10</t>
    <phoneticPr fontId="3" type="noConversion"/>
  </si>
  <si>
    <t>160+장기10</t>
    <phoneticPr fontId="3" type="noConversion"/>
  </si>
  <si>
    <t>190+40</t>
    <phoneticPr fontId="3" type="noConversion"/>
  </si>
  <si>
    <t>장기수당10</t>
    <phoneticPr fontId="3" type="noConversion"/>
  </si>
  <si>
    <t>일 4.8</t>
    <phoneticPr fontId="3" type="noConversion"/>
  </si>
  <si>
    <t>회당 6만, 창녕10만,농협20만</t>
    <phoneticPr fontId="3" type="noConversion"/>
  </si>
  <si>
    <t>조연주</t>
    <phoneticPr fontId="3" type="noConversion"/>
  </si>
  <si>
    <t>김현덕</t>
    <phoneticPr fontId="3" type="noConversion"/>
  </si>
  <si>
    <t>29일</t>
    <phoneticPr fontId="3" type="noConversion"/>
  </si>
  <si>
    <t>차민욱</t>
    <phoneticPr fontId="3" type="noConversion"/>
  </si>
  <si>
    <t>1톤 : 13.8</t>
    <phoneticPr fontId="3" type="noConversion"/>
  </si>
  <si>
    <t>2.5톤 : 16</t>
    <phoneticPr fontId="3" type="noConversion"/>
  </si>
  <si>
    <t>3.5톤 : 18</t>
    <phoneticPr fontId="3" type="noConversion"/>
  </si>
  <si>
    <t>5톤 : 21</t>
    <phoneticPr fontId="3" type="noConversion"/>
  </si>
  <si>
    <t>4시간 연장</t>
    <phoneticPr fontId="3" type="noConversion"/>
  </si>
  <si>
    <t>정수상</t>
    <phoneticPr fontId="3" type="noConversion"/>
  </si>
  <si>
    <t>정수상(울산), 김현덕(울산), 차민욱(진주), 조연주(진주)
김영우(거제), 송상식(거제), 하상수(밀양), 정효익(통영)</t>
    <phoneticPr fontId="3" type="noConversion"/>
  </si>
  <si>
    <t>결근및 2회전 횟수</t>
    <phoneticPr fontId="3" type="noConversion"/>
  </si>
  <si>
    <t>2시간 : 24:00 ~</t>
    <phoneticPr fontId="3" type="noConversion"/>
  </si>
  <si>
    <t>김종두</t>
    <phoneticPr fontId="3" type="noConversion"/>
  </si>
  <si>
    <t>김기원</t>
    <phoneticPr fontId="3" type="noConversion"/>
  </si>
  <si>
    <t>이룸대리점 고정</t>
    <phoneticPr fontId="3" type="noConversion"/>
  </si>
  <si>
    <t>1일</t>
    <phoneticPr fontId="3" type="noConversion"/>
  </si>
  <si>
    <t>1일 피킹만 결근</t>
    <phoneticPr fontId="3" type="noConversion"/>
  </si>
  <si>
    <t xml:space="preserve">GS진주 일요이 배차 8.5만 </t>
    <phoneticPr fontId="3" type="noConversion"/>
  </si>
  <si>
    <t>대저 양산</t>
    <phoneticPr fontId="3" type="noConversion"/>
  </si>
  <si>
    <t>8시간 연장</t>
    <phoneticPr fontId="3" type="noConversion"/>
  </si>
  <si>
    <t>곽창호</t>
    <phoneticPr fontId="3" type="noConversion"/>
  </si>
  <si>
    <t>2025년 12</t>
    <phoneticPr fontId="3" type="noConversion"/>
  </si>
  <si>
    <t>허현수</t>
    <phoneticPr fontId="3" type="noConversion"/>
  </si>
  <si>
    <t>8일</t>
    <phoneticPr fontId="3" type="noConversion"/>
  </si>
  <si>
    <t>27일</t>
    <phoneticPr fontId="3" type="noConversion"/>
  </si>
  <si>
    <t>4회, 12월 장거리수당 일수 7만</t>
    <phoneticPr fontId="3" type="noConversion"/>
  </si>
  <si>
    <t>1시간30분연장</t>
    <phoneticPr fontId="3" type="noConversion"/>
  </si>
  <si>
    <t>6일 결근</t>
    <phoneticPr fontId="3" type="noConversion"/>
  </si>
  <si>
    <t xml:space="preserve">        2026년 차량운임 인상안</t>
    <phoneticPr fontId="16" type="noConversion"/>
  </si>
  <si>
    <t>단위(원)</t>
    <phoneticPr fontId="16" type="noConversion"/>
  </si>
  <si>
    <t>NO</t>
    <phoneticPr fontId="3" type="noConversion"/>
  </si>
  <si>
    <t>권역</t>
    <phoneticPr fontId="3" type="noConversion"/>
  </si>
  <si>
    <t>기사명</t>
    <phoneticPr fontId="3" type="noConversion"/>
  </si>
  <si>
    <t>차량(톤)</t>
    <phoneticPr fontId="3" type="noConversion"/>
  </si>
  <si>
    <t>인상금액</t>
    <phoneticPr fontId="16" type="noConversion"/>
  </si>
  <si>
    <t>인상후(기본운임)</t>
    <phoneticPr fontId="3" type="noConversion"/>
  </si>
  <si>
    <t>고정용차</t>
    <phoneticPr fontId="16" type="noConversion"/>
  </si>
  <si>
    <t>울산</t>
  </si>
  <si>
    <t>신동철(인상폭 반영)</t>
    <phoneticPr fontId="16" type="noConversion"/>
  </si>
  <si>
    <t>박병규</t>
  </si>
  <si>
    <t>전체우(인상폭 반영)</t>
    <phoneticPr fontId="16" type="noConversion"/>
  </si>
  <si>
    <t>정수상</t>
    <phoneticPr fontId="16" type="noConversion"/>
  </si>
  <si>
    <t>김태호(인상폭 반영)</t>
    <phoneticPr fontId="16" type="noConversion"/>
  </si>
  <si>
    <t>김현덕</t>
  </si>
  <si>
    <t>심철환(인상폭 반영)</t>
    <phoneticPr fontId="16" type="noConversion"/>
  </si>
  <si>
    <t>양산</t>
  </si>
  <si>
    <t>김일동</t>
  </si>
  <si>
    <t>정경동(인상폭 반영)</t>
    <phoneticPr fontId="16" type="noConversion"/>
  </si>
  <si>
    <t>밀양</t>
  </si>
  <si>
    <t>하상수</t>
  </si>
  <si>
    <t>장거리수당 인상액</t>
    <phoneticPr fontId="16" type="noConversion"/>
  </si>
  <si>
    <t>통영</t>
  </si>
  <si>
    <t>정효익</t>
  </si>
  <si>
    <t>기장,정관</t>
    <phoneticPr fontId="16" type="noConversion"/>
  </si>
  <si>
    <t>민준기</t>
    <phoneticPr fontId="16" type="noConversion"/>
  </si>
  <si>
    <t>차량별 인상액</t>
    <phoneticPr fontId="16" type="noConversion"/>
  </si>
  <si>
    <t>부산,김해,밀양</t>
    <phoneticPr fontId="16" type="noConversion"/>
  </si>
  <si>
    <t>안철민</t>
  </si>
  <si>
    <t>1톤 : 10만원</t>
    <phoneticPr fontId="16" type="noConversion"/>
  </si>
  <si>
    <t>수송</t>
    <phoneticPr fontId="16" type="noConversion"/>
  </si>
  <si>
    <t>정규태</t>
  </si>
  <si>
    <t>5축</t>
    <phoneticPr fontId="16" type="noConversion"/>
  </si>
  <si>
    <t>2.5톤 :10만원</t>
    <phoneticPr fontId="16" type="noConversion"/>
  </si>
  <si>
    <t>동부산</t>
  </si>
  <si>
    <t>김선명</t>
  </si>
  <si>
    <t>3.5톤 : 15만원</t>
    <phoneticPr fontId="16" type="noConversion"/>
  </si>
  <si>
    <t>강호필</t>
  </si>
  <si>
    <t>5톤 : 15만원</t>
    <phoneticPr fontId="16" type="noConversion"/>
  </si>
  <si>
    <t>배연환</t>
  </si>
  <si>
    <t>5톤(축): 15만원</t>
    <phoneticPr fontId="16" type="noConversion"/>
  </si>
  <si>
    <t>손호민</t>
  </si>
  <si>
    <t>차량구분</t>
  </si>
  <si>
    <t>대수</t>
    <phoneticPr fontId="16" type="noConversion"/>
  </si>
  <si>
    <t>서부산</t>
  </si>
  <si>
    <t>박근한</t>
  </si>
  <si>
    <t>1톤</t>
  </si>
  <si>
    <t>이성찬</t>
  </si>
  <si>
    <t>2.5톤</t>
  </si>
  <si>
    <t>3.5톤</t>
  </si>
  <si>
    <t>김해</t>
  </si>
  <si>
    <t>이몽룡</t>
  </si>
  <si>
    <t>5톤(수/배)</t>
    <phoneticPr fontId="16" type="noConversion"/>
  </si>
  <si>
    <t>이상훈</t>
  </si>
  <si>
    <t>오갑세</t>
  </si>
  <si>
    <t>서부산김해</t>
  </si>
  <si>
    <t>정관, 양산</t>
  </si>
  <si>
    <t>금정</t>
  </si>
  <si>
    <t>진영</t>
  </si>
  <si>
    <t>창원</t>
  </si>
  <si>
    <t>안동수</t>
  </si>
  <si>
    <t>배봉준</t>
  </si>
  <si>
    <t>김영주</t>
  </si>
  <si>
    <t>거제</t>
  </si>
  <si>
    <t>송상식</t>
  </si>
  <si>
    <t>김영우</t>
  </si>
  <si>
    <t>진주</t>
  </si>
  <si>
    <t>곽창호</t>
  </si>
  <si>
    <t>차민욱</t>
  </si>
  <si>
    <t>조연주</t>
  </si>
  <si>
    <t>사천</t>
  </si>
  <si>
    <t>신현수</t>
    <phoneticPr fontId="16" type="noConversion"/>
  </si>
  <si>
    <t>햡계</t>
    <phoneticPr fontId="16" type="noConversion"/>
  </si>
  <si>
    <t>2회전</t>
    <phoneticPr fontId="16" type="noConversion"/>
  </si>
  <si>
    <t>기사명</t>
    <phoneticPr fontId="16" type="noConversion"/>
  </si>
  <si>
    <t>배송내역</t>
  </si>
  <si>
    <t>금액(월)</t>
    <phoneticPr fontId="16" type="noConversion"/>
  </si>
  <si>
    <t>금액(회당)</t>
    <phoneticPr fontId="16" type="noConversion"/>
  </si>
  <si>
    <t xml:space="preserve"> 안동수</t>
    <phoneticPr fontId="16" type="noConversion"/>
  </si>
  <si>
    <t xml:space="preserve"> gs25(해인.김해)</t>
    <phoneticPr fontId="16" type="noConversion"/>
  </si>
  <si>
    <t>주6일</t>
    <phoneticPr fontId="16" type="noConversion"/>
  </si>
  <si>
    <t>창원(대상)</t>
    <phoneticPr fontId="16" type="noConversion"/>
  </si>
  <si>
    <t>주5일(토,공휴일,방학제외)</t>
    <phoneticPr fontId="16" type="noConversion"/>
  </si>
  <si>
    <t>김해부산(하회)</t>
  </si>
  <si>
    <t>부산(하회)</t>
  </si>
  <si>
    <t>김해/양산cvs(대상)</t>
    <phoneticPr fontId="16" type="noConversion"/>
  </si>
  <si>
    <t>주3일(화,목,토)</t>
    <phoneticPr fontId="16" type="noConversion"/>
  </si>
  <si>
    <t>허현수</t>
    <phoneticPr fontId="16" type="noConversion"/>
  </si>
  <si>
    <t>서부산/김해/기장(대상)</t>
    <phoneticPr fontId="16" type="noConversion"/>
  </si>
  <si>
    <t>창원(대상)</t>
  </si>
  <si>
    <t>주5일(토,공휴일,방학제외)</t>
  </si>
  <si>
    <t>합계</t>
    <phoneticPr fontId="16" type="noConversion"/>
  </si>
  <si>
    <t>야간알바</t>
    <phoneticPr fontId="16" type="noConversion"/>
  </si>
  <si>
    <t>근무시간</t>
  </si>
  <si>
    <t>인상 전(25년)</t>
    <phoneticPr fontId="16" type="noConversion"/>
  </si>
  <si>
    <t>인상 후(26년)</t>
    <phoneticPr fontId="16" type="noConversion"/>
  </si>
  <si>
    <t>4.30(주6일)</t>
  </si>
  <si>
    <t>4(주6일)</t>
  </si>
  <si>
    <t xml:space="preserve"> 박근한</t>
    <phoneticPr fontId="16" type="noConversion"/>
  </si>
  <si>
    <t xml:space="preserve"> 4(주6일)</t>
    <phoneticPr fontId="16" type="noConversion"/>
  </si>
  <si>
    <t xml:space="preserve"> 정수상</t>
    <phoneticPr fontId="16" type="noConversion"/>
  </si>
  <si>
    <t xml:space="preserve"> 2(주6일)</t>
    <phoneticPr fontId="16" type="noConversion"/>
  </si>
  <si>
    <t>김선명</t>
    <phoneticPr fontId="16" type="noConversion"/>
  </si>
  <si>
    <t xml:space="preserve"> 3(주6일)</t>
    <phoneticPr fontId="16" type="noConversion"/>
  </si>
  <si>
    <t>이상훈</t>
    <phoneticPr fontId="16" type="noConversion"/>
  </si>
  <si>
    <t xml:space="preserve"> 3(주5일)토,공휴일제외</t>
    <phoneticPr fontId="16" type="noConversion"/>
  </si>
  <si>
    <t>기본시급</t>
    <phoneticPr fontId="16" type="noConversion"/>
  </si>
  <si>
    <t>일 4시간/26일기준</t>
    <phoneticPr fontId="16" type="noConversion"/>
  </si>
  <si>
    <t>sm알바 시급(24년)</t>
    <phoneticPr fontId="16" type="noConversion"/>
  </si>
  <si>
    <t>sm알바 시급(25년)</t>
    <phoneticPr fontId="16" type="noConversion"/>
  </si>
  <si>
    <t>sm알바 시급(26년)</t>
    <phoneticPr fontId="16" type="noConversion"/>
  </si>
  <si>
    <t xml:space="preserve">◆ 2426년 : 일 4시간 기준 월 44,000원 인상 </t>
    <phoneticPr fontId="16" type="noConversion"/>
  </si>
  <si>
    <t>2026년 01</t>
    <phoneticPr fontId="3" type="noConversion"/>
  </si>
  <si>
    <t>194.95+40</t>
    <phoneticPr fontId="3" type="noConversion"/>
  </si>
  <si>
    <t>일 4.95</t>
    <phoneticPr fontId="3" type="noConversion"/>
  </si>
  <si>
    <t>박주현</t>
    <phoneticPr fontId="3" type="noConversion"/>
  </si>
  <si>
    <t>한맥차량 임시고정</t>
    <phoneticPr fontId="3" type="noConversion"/>
  </si>
  <si>
    <t>3월부터 고정차량 전환</t>
    <phoneticPr fontId="3" type="noConversion"/>
  </si>
  <si>
    <t>민준기</t>
    <phoneticPr fontId="3" type="noConversion"/>
  </si>
  <si>
    <t>배연환</t>
    <phoneticPr fontId="3" type="noConversion"/>
  </si>
  <si>
    <t>7, 8일</t>
    <phoneticPr fontId="3" type="noConversion"/>
  </si>
  <si>
    <t>10일</t>
    <phoneticPr fontId="3" type="noConversion"/>
  </si>
  <si>
    <t>29, 30일</t>
    <phoneticPr fontId="3" type="noConversion"/>
  </si>
  <si>
    <t>9, 10일</t>
    <phoneticPr fontId="3" type="noConversion"/>
  </si>
  <si>
    <t>1톤 : 14.2</t>
    <phoneticPr fontId="3" type="noConversion"/>
  </si>
  <si>
    <t>2.5톤 : 16.3</t>
    <phoneticPr fontId="3" type="noConversion"/>
  </si>
  <si>
    <t>3.5톤 : 18.7</t>
    <phoneticPr fontId="3" type="noConversion"/>
  </si>
  <si>
    <t>5톤 : 21.3</t>
    <phoneticPr fontId="3" type="noConversion"/>
  </si>
  <si>
    <t>장거리 수당 지원 비수기 울산코스</t>
    <phoneticPr fontId="3" type="noConversion"/>
  </si>
  <si>
    <t>박병규(울산), 서광호(울산), 배봉준(통영)</t>
    <phoneticPr fontId="3" type="noConversion"/>
  </si>
  <si>
    <t>4회</t>
    <phoneticPr fontId="3" type="noConversion"/>
  </si>
  <si>
    <t>정주원</t>
    <phoneticPr fontId="3" type="noConversion"/>
  </si>
  <si>
    <t>정수상</t>
    <phoneticPr fontId="3" type="noConversion"/>
  </si>
  <si>
    <t>2시간 연장</t>
    <phoneticPr fontId="3" type="noConversion"/>
  </si>
  <si>
    <t>8일 휴무</t>
    <phoneticPr fontId="3" type="noConversion"/>
  </si>
  <si>
    <t>10일 휴무</t>
    <phoneticPr fontId="3" type="noConversion"/>
  </si>
  <si>
    <t>김현덕</t>
    <phoneticPr fontId="3" type="noConversion"/>
  </si>
  <si>
    <t>정규태</t>
    <phoneticPr fontId="3" type="noConversion"/>
  </si>
  <si>
    <t>삼천포</t>
    <phoneticPr fontId="3" type="noConversion"/>
  </si>
  <si>
    <t>200 + 10</t>
    <phoneticPr fontId="3" type="noConversion"/>
  </si>
  <si>
    <t>화회 1회전 10만원 인상</t>
    <phoneticPr fontId="3" type="noConversion"/>
  </si>
  <si>
    <t>26년 120-&gt;130 인상</t>
    <phoneticPr fontId="3" type="noConversion"/>
  </si>
  <si>
    <t>26년 190-&gt;200 인상</t>
    <phoneticPr fontId="3" type="noConversion"/>
  </si>
  <si>
    <t>하루만 차감</t>
    <phoneticPr fontId="3" type="noConversion"/>
  </si>
  <si>
    <t>AR은 고정급이 아니어서 2일 차감</t>
    <phoneticPr fontId="3" type="noConversion"/>
  </si>
  <si>
    <t>조연주</t>
    <phoneticPr fontId="3" type="noConversion"/>
  </si>
  <si>
    <t>차민욱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</si>
</sst>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_-* #,##0.0_-;\-* #,##0.0_-;_-* &quot;-&quot;_-;_-@_-"/>
    <numFmt numFmtId="177" formatCode="mm&quot;월&quot;\ dd&quot;일&quot;"/>
  </numFmts>
  <fonts count="22" x14ac:knownFonts="1">
    <font>
      <sz val="9"/>
      <color theme="1"/>
      <name val="굴림체"/>
      <family val="2"/>
      <charset val="129"/>
    </font>
    <font>
      <sz val="9"/>
      <color theme="1"/>
      <name val="굴림체"/>
      <family val="2"/>
      <charset val="129"/>
    </font>
    <font>
      <b/>
      <sz val="14"/>
      <color theme="1"/>
      <name val="굴림체"/>
      <family val="3"/>
      <charset val="129"/>
    </font>
    <font>
      <sz val="8"/>
      <name val="굴림체"/>
      <family val="2"/>
      <charset val="129"/>
    </font>
    <font>
      <b/>
      <sz val="9"/>
      <color theme="1"/>
      <name val="굴림체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9"/>
      <color rgb="FFFF0000"/>
      <name val="굴림체"/>
      <family val="3"/>
      <charset val="129"/>
    </font>
    <font>
      <sz val="9"/>
      <color rgb="FFFF0000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0"/>
      <color theme="1"/>
      <name val="굴림체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2"/>
      <scheme val="minor"/>
    </font>
    <font>
      <b/>
      <sz val="14"/>
      <color theme="1"/>
      <name val="굴림"/>
      <family val="3"/>
      <charset val="129"/>
    </font>
    <font>
      <sz val="8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b/>
      <sz val="11"/>
      <color theme="1"/>
      <name val="굴림체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9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4" fillId="0" borderId="0"/>
    <xf numFmtId="41" fontId="14" fillId="0" borderId="0" applyFont="0" applyFill="0" applyBorder="0" applyAlignment="0" applyProtection="0">
      <alignment vertical="center"/>
    </xf>
  </cellStyleXfs>
  <cellXfs count="350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1" fillId="0" borderId="1" xfId="0" applyFont="1" applyBorder="1">
      <alignment vertical="center"/>
    </xf>
    <xf numFmtId="0" fontId="4" fillId="0" borderId="2" xfId="0" applyFont="1" applyBorder="1">
      <alignment vertical="center"/>
    </xf>
    <xf numFmtId="176" fontId="1" fillId="0" borderId="0" xfId="1" applyNumberFormat="1">
      <alignment vertical="center"/>
    </xf>
    <xf numFmtId="43" fontId="1" fillId="0" borderId="0" xfId="0" applyNumberFormat="1" applyFont="1">
      <alignment vertical="center"/>
    </xf>
    <xf numFmtId="0" fontId="0" fillId="0" borderId="3" xfId="0" applyBorder="1">
      <alignment vertical="center"/>
    </xf>
    <xf numFmtId="0" fontId="4" fillId="0" borderId="4" xfId="0" applyFont="1" applyBorder="1">
      <alignment vertical="center"/>
    </xf>
    <xf numFmtId="0" fontId="1" fillId="0" borderId="3" xfId="0" applyFont="1" applyBorder="1">
      <alignment vertical="center"/>
    </xf>
    <xf numFmtId="0" fontId="4" fillId="0" borderId="6" xfId="0" applyFont="1" applyBorder="1">
      <alignment vertical="center"/>
    </xf>
    <xf numFmtId="176" fontId="0" fillId="0" borderId="0" xfId="1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1" fillId="0" borderId="7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" fillId="0" borderId="8" xfId="0" applyFont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3" borderId="0" xfId="0" applyFill="1">
      <alignment vertical="center"/>
    </xf>
    <xf numFmtId="0" fontId="1" fillId="3" borderId="0" xfId="0" applyFont="1" applyFill="1">
      <alignment vertical="center"/>
    </xf>
    <xf numFmtId="43" fontId="1" fillId="3" borderId="0" xfId="0" applyNumberFormat="1" applyFont="1" applyFill="1">
      <alignment vertical="center"/>
    </xf>
    <xf numFmtId="0" fontId="0" fillId="0" borderId="0" xfId="0" applyFont="1" applyFill="1" applyBorder="1">
      <alignment vertical="center"/>
    </xf>
    <xf numFmtId="0" fontId="0" fillId="0" borderId="0" xfId="0" applyFont="1">
      <alignment vertical="center"/>
    </xf>
    <xf numFmtId="0" fontId="0" fillId="0" borderId="5" xfId="0" applyFont="1" applyBorder="1">
      <alignment vertical="center"/>
    </xf>
    <xf numFmtId="0" fontId="4" fillId="0" borderId="0" xfId="0" applyFont="1" applyFill="1" applyBorder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6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0" fontId="6" fillId="0" borderId="12" xfId="2" applyFont="1" applyBorder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 applyAlignment="1">
      <alignment horizontal="center" vertical="center"/>
    </xf>
    <xf numFmtId="0" fontId="4" fillId="2" borderId="13" xfId="0" applyFont="1" applyFill="1" applyBorder="1">
      <alignment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31" xfId="0" applyFont="1" applyFill="1" applyBorder="1">
      <alignment vertical="center"/>
    </xf>
    <xf numFmtId="0" fontId="0" fillId="0" borderId="31" xfId="0" applyFont="1" applyBorder="1">
      <alignment vertical="center"/>
    </xf>
    <xf numFmtId="0" fontId="0" fillId="0" borderId="0" xfId="0" applyFont="1" applyFill="1">
      <alignment vertical="center"/>
    </xf>
    <xf numFmtId="0" fontId="4" fillId="0" borderId="0" xfId="0" applyFont="1" applyFill="1" applyBorder="1" applyAlignment="1">
      <alignment horizontal="center" vertical="center"/>
    </xf>
    <xf numFmtId="0" fontId="1" fillId="2" borderId="0" xfId="0" applyFont="1" applyFill="1">
      <alignment vertical="center"/>
    </xf>
    <xf numFmtId="0" fontId="0" fillId="2" borderId="0" xfId="0" applyFont="1" applyFill="1">
      <alignment vertical="center"/>
    </xf>
    <xf numFmtId="0" fontId="4" fillId="0" borderId="32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8" fillId="2" borderId="40" xfId="0" applyFont="1" applyFill="1" applyBorder="1">
      <alignment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3" xfId="0" applyFont="1" applyFill="1" applyBorder="1">
      <alignment vertical="center"/>
    </xf>
    <xf numFmtId="0" fontId="4" fillId="0" borderId="31" xfId="0" applyFont="1" applyFill="1" applyBorder="1">
      <alignment vertical="center"/>
    </xf>
    <xf numFmtId="0" fontId="0" fillId="0" borderId="31" xfId="0" applyFill="1" applyBorder="1">
      <alignment vertical="center"/>
    </xf>
    <xf numFmtId="0" fontId="0" fillId="0" borderId="31" xfId="0" applyFill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8" fillId="2" borderId="46" xfId="0" applyFont="1" applyFill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8" fillId="2" borderId="51" xfId="0" applyFont="1" applyFill="1" applyBorder="1">
      <alignment vertical="center"/>
    </xf>
    <xf numFmtId="0" fontId="4" fillId="0" borderId="51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>
      <alignment vertical="center"/>
    </xf>
    <xf numFmtId="0" fontId="0" fillId="0" borderId="56" xfId="0" applyBorder="1">
      <alignment vertical="center"/>
    </xf>
    <xf numFmtId="0" fontId="0" fillId="0" borderId="57" xfId="0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0" fillId="0" borderId="13" xfId="0" applyFont="1" applyBorder="1">
      <alignment vertical="center"/>
    </xf>
    <xf numFmtId="0" fontId="0" fillId="0" borderId="12" xfId="0" applyFont="1" applyBorder="1">
      <alignment vertical="center"/>
    </xf>
    <xf numFmtId="177" fontId="0" fillId="0" borderId="48" xfId="0" applyNumberFormat="1" applyBorder="1" applyAlignment="1">
      <alignment horizontal="left" vertical="center"/>
    </xf>
    <xf numFmtId="0" fontId="0" fillId="0" borderId="61" xfId="0" applyFont="1" applyBorder="1" applyAlignment="1">
      <alignment horizontal="center" vertical="center"/>
    </xf>
    <xf numFmtId="0" fontId="4" fillId="0" borderId="56" xfId="0" applyFont="1" applyFill="1" applyBorder="1">
      <alignment vertical="center"/>
    </xf>
    <xf numFmtId="0" fontId="0" fillId="0" borderId="13" xfId="0" applyFill="1" applyBorder="1" applyAlignment="1">
      <alignment horizontal="center" vertical="center"/>
    </xf>
    <xf numFmtId="0" fontId="0" fillId="0" borderId="53" xfId="0" applyFill="1" applyBorder="1">
      <alignment vertical="center"/>
    </xf>
    <xf numFmtId="0" fontId="4" fillId="0" borderId="31" xfId="0" applyFont="1" applyFill="1" applyBorder="1" applyAlignment="1">
      <alignment horizontal="center" vertical="center"/>
    </xf>
    <xf numFmtId="0" fontId="4" fillId="0" borderId="38" xfId="0" applyFont="1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6" fillId="0" borderId="13" xfId="2" applyFont="1" applyFill="1" applyBorder="1" applyAlignment="1">
      <alignment horizontal="center" vertical="center"/>
    </xf>
    <xf numFmtId="0" fontId="6" fillId="0" borderId="24" xfId="2" applyFont="1" applyFill="1" applyBorder="1" applyAlignment="1">
      <alignment horizontal="center" vertical="center"/>
    </xf>
    <xf numFmtId="0" fontId="6" fillId="0" borderId="14" xfId="2" applyFont="1" applyFill="1" applyBorder="1" applyAlignment="1">
      <alignment horizontal="center" vertical="center"/>
    </xf>
    <xf numFmtId="0" fontId="6" fillId="0" borderId="40" xfId="2" applyFont="1" applyFill="1" applyBorder="1" applyAlignment="1">
      <alignment horizontal="center" vertical="center"/>
    </xf>
    <xf numFmtId="0" fontId="6" fillId="0" borderId="41" xfId="2" applyFont="1" applyFill="1" applyBorder="1" applyAlignment="1">
      <alignment horizontal="center" vertical="center"/>
    </xf>
    <xf numFmtId="0" fontId="6" fillId="0" borderId="63" xfId="2" applyFont="1" applyFill="1" applyBorder="1" applyAlignment="1">
      <alignment horizontal="center" vertical="center"/>
    </xf>
    <xf numFmtId="0" fontId="6" fillId="0" borderId="65" xfId="2" applyFont="1" applyFill="1" applyBorder="1" applyAlignment="1">
      <alignment horizontal="center" vertical="center"/>
    </xf>
    <xf numFmtId="0" fontId="6" fillId="0" borderId="66" xfId="2" applyFont="1" applyFill="1" applyBorder="1" applyAlignment="1">
      <alignment horizontal="center" vertical="center"/>
    </xf>
    <xf numFmtId="0" fontId="4" fillId="0" borderId="68" xfId="2" applyFont="1" applyFill="1" applyBorder="1" applyAlignment="1">
      <alignment horizontal="left" vertical="center" wrapText="1"/>
    </xf>
    <xf numFmtId="0" fontId="4" fillId="0" borderId="62" xfId="2" applyFont="1" applyFill="1" applyBorder="1" applyAlignment="1">
      <alignment horizontal="center" vertical="center"/>
    </xf>
    <xf numFmtId="0" fontId="4" fillId="0" borderId="42" xfId="2" applyFont="1" applyFill="1" applyBorder="1" applyAlignment="1">
      <alignment horizontal="center" vertical="center" wrapText="1"/>
    </xf>
    <xf numFmtId="0" fontId="6" fillId="3" borderId="66" xfId="2" applyFont="1" applyFill="1" applyBorder="1" applyAlignment="1">
      <alignment horizontal="center" vertical="center"/>
    </xf>
    <xf numFmtId="0" fontId="6" fillId="0" borderId="67" xfId="2" applyFont="1" applyFill="1" applyBorder="1" applyAlignment="1">
      <alignment horizontal="center" vertical="center"/>
    </xf>
    <xf numFmtId="0" fontId="4" fillId="0" borderId="42" xfId="2" applyFont="1" applyFill="1" applyBorder="1" applyAlignment="1">
      <alignment horizontal="center" vertical="center"/>
    </xf>
    <xf numFmtId="0" fontId="4" fillId="0" borderId="43" xfId="2" applyFont="1" applyFill="1" applyBorder="1" applyAlignment="1">
      <alignment horizontal="center" vertical="center"/>
    </xf>
    <xf numFmtId="0" fontId="6" fillId="3" borderId="24" xfId="2" applyFont="1" applyFill="1" applyBorder="1" applyAlignment="1">
      <alignment horizontal="center" vertical="center"/>
    </xf>
    <xf numFmtId="0" fontId="6" fillId="3" borderId="13" xfId="2" applyFont="1" applyFill="1" applyBorder="1" applyAlignment="1">
      <alignment horizontal="center" vertical="center"/>
    </xf>
    <xf numFmtId="0" fontId="6" fillId="3" borderId="14" xfId="2" applyFont="1" applyFill="1" applyBorder="1" applyAlignment="1">
      <alignment horizontal="center" vertical="center"/>
    </xf>
    <xf numFmtId="0" fontId="6" fillId="0" borderId="64" xfId="2" applyFont="1" applyFill="1" applyBorder="1" applyAlignment="1">
      <alignment horizontal="center" vertical="center"/>
    </xf>
    <xf numFmtId="0" fontId="6" fillId="0" borderId="16" xfId="2" applyFont="1" applyFill="1" applyBorder="1" applyAlignment="1">
      <alignment horizontal="center" vertical="center"/>
    </xf>
    <xf numFmtId="0" fontId="6" fillId="0" borderId="17" xfId="2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58" xfId="0" applyFill="1" applyBorder="1">
      <alignment vertical="center"/>
    </xf>
    <xf numFmtId="0" fontId="0" fillId="0" borderId="37" xfId="0" applyFill="1" applyBorder="1">
      <alignment vertical="center"/>
    </xf>
    <xf numFmtId="0" fontId="4" fillId="0" borderId="37" xfId="0" applyFont="1" applyFill="1" applyBorder="1">
      <alignment vertical="center"/>
    </xf>
    <xf numFmtId="0" fontId="4" fillId="0" borderId="37" xfId="0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center" vertical="center" wrapText="1"/>
    </xf>
    <xf numFmtId="0" fontId="0" fillId="0" borderId="59" xfId="0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4" fillId="2" borderId="4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0" fillId="0" borderId="69" xfId="0" applyFill="1" applyBorder="1">
      <alignment vertical="center"/>
    </xf>
    <xf numFmtId="0" fontId="0" fillId="0" borderId="70" xfId="0" applyFill="1" applyBorder="1">
      <alignment vertical="center"/>
    </xf>
    <xf numFmtId="0" fontId="4" fillId="0" borderId="70" xfId="0" applyFont="1" applyFill="1" applyBorder="1">
      <alignment vertical="center"/>
    </xf>
    <xf numFmtId="0" fontId="4" fillId="0" borderId="70" xfId="0" applyFont="1" applyFill="1" applyBorder="1" applyAlignment="1">
      <alignment horizontal="center" vertical="center"/>
    </xf>
    <xf numFmtId="0" fontId="4" fillId="0" borderId="71" xfId="0" applyFont="1" applyFill="1" applyBorder="1" applyAlignment="1">
      <alignment horizontal="center" vertical="center" wrapText="1"/>
    </xf>
    <xf numFmtId="0" fontId="0" fillId="0" borderId="72" xfId="0" applyFill="1" applyBorder="1" applyAlignment="1">
      <alignment horizontal="center" vertical="center"/>
    </xf>
    <xf numFmtId="0" fontId="0" fillId="4" borderId="53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0" fillId="0" borderId="19" xfId="0" applyFill="1" applyBorder="1">
      <alignment vertical="center"/>
    </xf>
    <xf numFmtId="0" fontId="0" fillId="0" borderId="20" xfId="0" applyFill="1" applyBorder="1">
      <alignment vertical="center"/>
    </xf>
    <xf numFmtId="0" fontId="4" fillId="0" borderId="20" xfId="0" applyFont="1" applyFill="1" applyBorder="1">
      <alignment vertical="center"/>
    </xf>
    <xf numFmtId="0" fontId="4" fillId="0" borderId="39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4" borderId="5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right" vertical="center"/>
    </xf>
    <xf numFmtId="0" fontId="6" fillId="0" borderId="14" xfId="0" applyFont="1" applyBorder="1" applyAlignment="1">
      <alignment horizontal="center" vertical="center"/>
    </xf>
    <xf numFmtId="0" fontId="4" fillId="3" borderId="0" xfId="2" applyFont="1" applyFill="1" applyAlignment="1">
      <alignment horizontal="center" vertical="center"/>
    </xf>
    <xf numFmtId="0" fontId="10" fillId="0" borderId="0" xfId="2" applyFont="1">
      <alignment vertical="center"/>
    </xf>
    <xf numFmtId="176" fontId="10" fillId="0" borderId="0" xfId="1" applyNumberFormat="1" applyFont="1">
      <alignment vertical="center"/>
    </xf>
    <xf numFmtId="41" fontId="10" fillId="0" borderId="0" xfId="1" applyFont="1">
      <alignment vertical="center"/>
    </xf>
    <xf numFmtId="0" fontId="11" fillId="0" borderId="0" xfId="2" applyFont="1">
      <alignment vertical="center"/>
    </xf>
    <xf numFmtId="176" fontId="11" fillId="0" borderId="0" xfId="1" applyNumberFormat="1" applyFont="1">
      <alignment vertical="center"/>
    </xf>
    <xf numFmtId="41" fontId="11" fillId="0" borderId="0" xfId="1" applyFont="1">
      <alignment vertical="center"/>
    </xf>
    <xf numFmtId="0" fontId="0" fillId="4" borderId="54" xfId="0" applyFill="1" applyBorder="1" applyAlignment="1">
      <alignment horizontal="center" vertical="center"/>
    </xf>
    <xf numFmtId="0" fontId="6" fillId="0" borderId="38" xfId="0" applyFont="1" applyFill="1" applyBorder="1" applyAlignment="1">
      <alignment horizontal="center" vertical="center"/>
    </xf>
    <xf numFmtId="49" fontId="4" fillId="0" borderId="20" xfId="0" applyNumberFormat="1" applyFont="1" applyFill="1" applyBorder="1" applyAlignment="1">
      <alignment horizontal="center" vertical="center"/>
    </xf>
    <xf numFmtId="49" fontId="4" fillId="0" borderId="31" xfId="0" applyNumberFormat="1" applyFont="1" applyFill="1" applyBorder="1" applyAlignment="1">
      <alignment horizontal="center" vertical="center"/>
    </xf>
    <xf numFmtId="49" fontId="4" fillId="0" borderId="56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0" fillId="0" borderId="30" xfId="0" applyFill="1" applyBorder="1">
      <alignment vertical="center"/>
    </xf>
    <xf numFmtId="0" fontId="1" fillId="0" borderId="13" xfId="0" applyFont="1" applyFill="1" applyBorder="1">
      <alignment vertical="center"/>
    </xf>
    <xf numFmtId="0" fontId="0" fillId="0" borderId="31" xfId="0" applyFont="1" applyFill="1" applyBorder="1">
      <alignment vertical="center"/>
    </xf>
    <xf numFmtId="0" fontId="0" fillId="0" borderId="12" xfId="0" applyFont="1" applyFill="1" applyBorder="1">
      <alignment vertical="center"/>
    </xf>
    <xf numFmtId="0" fontId="4" fillId="5" borderId="13" xfId="0" applyFont="1" applyFill="1" applyBorder="1">
      <alignment vertical="center"/>
    </xf>
    <xf numFmtId="0" fontId="4" fillId="0" borderId="13" xfId="0" applyFont="1" applyFill="1" applyBorder="1" applyAlignment="1">
      <alignment horizontal="center" vertical="center"/>
    </xf>
    <xf numFmtId="49" fontId="0" fillId="0" borderId="40" xfId="0" applyNumberFormat="1" applyBorder="1" applyAlignment="1">
      <alignment horizontal="left" vertical="center"/>
    </xf>
    <xf numFmtId="49" fontId="0" fillId="0" borderId="51" xfId="0" applyNumberFormat="1" applyBorder="1" applyAlignment="1">
      <alignment horizontal="left" vertical="center"/>
    </xf>
    <xf numFmtId="0" fontId="0" fillId="0" borderId="32" xfId="0" applyFill="1" applyBorder="1" applyAlignment="1">
      <alignment horizontal="center" vertical="center"/>
    </xf>
    <xf numFmtId="0" fontId="0" fillId="6" borderId="15" xfId="0" applyFill="1" applyBorder="1">
      <alignment vertical="center"/>
    </xf>
    <xf numFmtId="0" fontId="0" fillId="6" borderId="16" xfId="0" applyFill="1" applyBorder="1">
      <alignment vertical="center"/>
    </xf>
    <xf numFmtId="0" fontId="4" fillId="6" borderId="16" xfId="0" applyFont="1" applyFill="1" applyBorder="1" applyAlignment="1">
      <alignment vertical="center"/>
    </xf>
    <xf numFmtId="0" fontId="4" fillId="6" borderId="16" xfId="0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4" fillId="0" borderId="54" xfId="0" applyFont="1" applyFill="1" applyBorder="1" applyAlignment="1">
      <alignment horizontal="center" vertical="center"/>
    </xf>
    <xf numFmtId="0" fontId="0" fillId="3" borderId="55" xfId="0" applyFill="1" applyBorder="1">
      <alignment vertical="center"/>
    </xf>
    <xf numFmtId="0" fontId="0" fillId="3" borderId="56" xfId="0" applyFill="1" applyBorder="1">
      <alignment vertical="center"/>
    </xf>
    <xf numFmtId="0" fontId="4" fillId="3" borderId="56" xfId="0" applyFont="1" applyFill="1" applyBorder="1">
      <alignment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0" fillId="3" borderId="57" xfId="0" applyFill="1" applyBorder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2" borderId="0" xfId="0" applyFont="1" applyFill="1" applyBorder="1">
      <alignment vertical="center"/>
    </xf>
    <xf numFmtId="176" fontId="0" fillId="0" borderId="0" xfId="1" applyNumberFormat="1" applyFont="1" applyFill="1" applyBorder="1">
      <alignment vertical="center"/>
    </xf>
    <xf numFmtId="43" fontId="0" fillId="3" borderId="0" xfId="0" applyNumberFormat="1" applyFont="1" applyFill="1">
      <alignment vertical="center"/>
    </xf>
    <xf numFmtId="43" fontId="0" fillId="0" borderId="0" xfId="0" applyNumberFormat="1" applyFont="1">
      <alignment vertical="center"/>
    </xf>
    <xf numFmtId="0" fontId="0" fillId="2" borderId="0" xfId="0" applyFont="1" applyFill="1" applyBorder="1">
      <alignment vertical="center"/>
    </xf>
    <xf numFmtId="0" fontId="0" fillId="2" borderId="3" xfId="0" applyFill="1" applyBorder="1">
      <alignment vertical="center"/>
    </xf>
    <xf numFmtId="0" fontId="0" fillId="2" borderId="30" xfId="0" applyFill="1" applyBorder="1">
      <alignment vertical="center"/>
    </xf>
    <xf numFmtId="177" fontId="0" fillId="0" borderId="50" xfId="0" applyNumberFormat="1" applyBorder="1" applyAlignment="1">
      <alignment horizontal="left" vertical="center"/>
    </xf>
    <xf numFmtId="0" fontId="6" fillId="2" borderId="73" xfId="0" applyFont="1" applyFill="1" applyBorder="1" applyAlignment="1">
      <alignment horizontal="center" vertical="center"/>
    </xf>
    <xf numFmtId="0" fontId="6" fillId="2" borderId="74" xfId="0" applyFont="1" applyFill="1" applyBorder="1">
      <alignment vertical="center"/>
    </xf>
    <xf numFmtId="0" fontId="6" fillId="2" borderId="75" xfId="0" applyFont="1" applyFill="1" applyBorder="1">
      <alignment vertical="center"/>
    </xf>
    <xf numFmtId="0" fontId="6" fillId="2" borderId="76" xfId="0" applyFont="1" applyFill="1" applyBorder="1">
      <alignment vertical="center"/>
    </xf>
    <xf numFmtId="0" fontId="0" fillId="2" borderId="0" xfId="0" applyFont="1" applyFill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14" fillId="0" borderId="0" xfId="3" applyAlignment="1">
      <alignment horizontal="center" vertical="center"/>
    </xf>
    <xf numFmtId="0" fontId="15" fillId="0" borderId="0" xfId="3" applyFont="1" applyAlignment="1">
      <alignment vertical="center"/>
    </xf>
    <xf numFmtId="0" fontId="14" fillId="0" borderId="0" xfId="3" applyAlignment="1">
      <alignment vertical="center"/>
    </xf>
    <xf numFmtId="41" fontId="0" fillId="0" borderId="0" xfId="4" applyFont="1">
      <alignment vertical="center"/>
    </xf>
    <xf numFmtId="0" fontId="17" fillId="0" borderId="0" xfId="3" applyFont="1" applyAlignment="1">
      <alignment vertical="center"/>
    </xf>
    <xf numFmtId="41" fontId="18" fillId="0" borderId="0" xfId="4" applyFont="1" applyAlignment="1">
      <alignment horizontal="right" vertical="center"/>
    </xf>
    <xf numFmtId="0" fontId="4" fillId="7" borderId="77" xfId="3" applyFont="1" applyFill="1" applyBorder="1" applyAlignment="1">
      <alignment horizontal="center" vertical="center"/>
    </xf>
    <xf numFmtId="0" fontId="4" fillId="7" borderId="62" xfId="3" applyFont="1" applyFill="1" applyBorder="1" applyAlignment="1">
      <alignment horizontal="center" vertical="center"/>
    </xf>
    <xf numFmtId="0" fontId="4" fillId="7" borderId="42" xfId="3" applyFont="1" applyFill="1" applyBorder="1" applyAlignment="1">
      <alignment horizontal="center" vertical="center"/>
    </xf>
    <xf numFmtId="41" fontId="4" fillId="7" borderId="78" xfId="4" applyFont="1" applyFill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10" fillId="0" borderId="9" xfId="3" applyFont="1" applyFill="1" applyBorder="1" applyAlignment="1">
      <alignment horizontal="center" vertical="center"/>
    </xf>
    <xf numFmtId="0" fontId="6" fillId="0" borderId="18" xfId="3" applyFont="1" applyFill="1" applyBorder="1" applyAlignment="1">
      <alignment vertical="center"/>
    </xf>
    <xf numFmtId="0" fontId="6" fillId="0" borderId="10" xfId="3" applyFont="1" applyFill="1" applyBorder="1" applyAlignment="1">
      <alignment vertical="center"/>
    </xf>
    <xf numFmtId="0" fontId="6" fillId="0" borderId="10" xfId="3" applyFont="1" applyFill="1" applyBorder="1" applyAlignment="1">
      <alignment horizontal="center" vertical="center"/>
    </xf>
    <xf numFmtId="41" fontId="6" fillId="0" borderId="10" xfId="4" applyFont="1" applyFill="1" applyBorder="1" applyAlignment="1">
      <alignment horizontal="left" vertical="center"/>
    </xf>
    <xf numFmtId="41" fontId="10" fillId="0" borderId="11" xfId="4" applyFont="1" applyFill="1" applyBorder="1">
      <alignment vertical="center"/>
    </xf>
    <xf numFmtId="0" fontId="10" fillId="0" borderId="0" xfId="3" applyFont="1" applyFill="1" applyAlignment="1">
      <alignment vertical="center"/>
    </xf>
    <xf numFmtId="0" fontId="10" fillId="0" borderId="12" xfId="3" applyFont="1" applyFill="1" applyBorder="1" applyAlignment="1">
      <alignment horizontal="center" vertical="center"/>
    </xf>
    <xf numFmtId="0" fontId="6" fillId="0" borderId="24" xfId="3" applyFont="1" applyFill="1" applyBorder="1" applyAlignment="1">
      <alignment vertical="center"/>
    </xf>
    <xf numFmtId="0" fontId="6" fillId="0" borderId="13" xfId="3" applyFont="1" applyFill="1" applyBorder="1" applyAlignment="1">
      <alignment vertical="center"/>
    </xf>
    <xf numFmtId="0" fontId="6" fillId="0" borderId="13" xfId="3" applyFont="1" applyFill="1" applyBorder="1" applyAlignment="1">
      <alignment horizontal="center" vertical="center"/>
    </xf>
    <xf numFmtId="41" fontId="6" fillId="0" borderId="40" xfId="4" applyFont="1" applyFill="1" applyBorder="1" applyAlignment="1">
      <alignment horizontal="left" vertical="center"/>
    </xf>
    <xf numFmtId="41" fontId="10" fillId="0" borderId="14" xfId="4" applyFont="1" applyFill="1" applyBorder="1">
      <alignment vertical="center"/>
    </xf>
    <xf numFmtId="0" fontId="10" fillId="0" borderId="80" xfId="3" applyFont="1" applyFill="1" applyBorder="1" applyAlignment="1">
      <alignment horizontal="center" vertical="center"/>
    </xf>
    <xf numFmtId="41" fontId="6" fillId="0" borderId="13" xfId="4" applyFont="1" applyFill="1" applyBorder="1" applyAlignment="1">
      <alignment horizontal="left" vertical="center"/>
    </xf>
    <xf numFmtId="41" fontId="10" fillId="0" borderId="41" xfId="4" applyFont="1" applyFill="1" applyBorder="1">
      <alignment vertical="center"/>
    </xf>
    <xf numFmtId="0" fontId="11" fillId="0" borderId="0" xfId="3" applyFont="1" applyFill="1" applyAlignment="1">
      <alignment horizontal="center" vertical="center"/>
    </xf>
    <xf numFmtId="41" fontId="10" fillId="0" borderId="0" xfId="4" applyFont="1" applyFill="1" applyAlignment="1">
      <alignment vertical="center"/>
    </xf>
    <xf numFmtId="41" fontId="17" fillId="9" borderId="79" xfId="3" applyNumberFormat="1" applyFont="1" applyFill="1" applyBorder="1" applyAlignment="1">
      <alignment vertical="center"/>
    </xf>
    <xf numFmtId="0" fontId="10" fillId="9" borderId="61" xfId="3" applyFont="1" applyFill="1" applyBorder="1" applyAlignment="1">
      <alignment vertical="center"/>
    </xf>
    <xf numFmtId="41" fontId="17" fillId="0" borderId="79" xfId="3" applyNumberFormat="1" applyFont="1" applyFill="1" applyBorder="1" applyAlignment="1">
      <alignment vertical="center"/>
    </xf>
    <xf numFmtId="0" fontId="10" fillId="0" borderId="61" xfId="3" applyFont="1" applyFill="1" applyBorder="1" applyAlignment="1">
      <alignment horizontal="center" vertical="center"/>
    </xf>
    <xf numFmtId="41" fontId="17" fillId="0" borderId="79" xfId="3" applyNumberFormat="1" applyFont="1" applyFill="1" applyBorder="1" applyAlignment="1">
      <alignment vertical="center" wrapText="1"/>
    </xf>
    <xf numFmtId="0" fontId="17" fillId="0" borderId="0" xfId="3" applyFont="1" applyFill="1" applyAlignment="1">
      <alignment vertical="center"/>
    </xf>
    <xf numFmtId="41" fontId="17" fillId="0" borderId="0" xfId="3" applyNumberFormat="1" applyFont="1" applyFill="1" applyAlignment="1">
      <alignment vertical="center"/>
    </xf>
    <xf numFmtId="0" fontId="10" fillId="0" borderId="82" xfId="3" applyFont="1" applyFill="1" applyBorder="1" applyAlignment="1">
      <alignment horizontal="center" vertical="center"/>
    </xf>
    <xf numFmtId="0" fontId="6" fillId="0" borderId="64" xfId="3" applyFont="1" applyFill="1" applyBorder="1" applyAlignment="1">
      <alignment vertical="center"/>
    </xf>
    <xf numFmtId="0" fontId="6" fillId="0" borderId="16" xfId="3" applyFont="1" applyFill="1" applyBorder="1" applyAlignment="1">
      <alignment vertical="center"/>
    </xf>
    <xf numFmtId="0" fontId="6" fillId="0" borderId="16" xfId="3" applyFont="1" applyFill="1" applyBorder="1" applyAlignment="1">
      <alignment horizontal="center" vertical="center"/>
    </xf>
    <xf numFmtId="41" fontId="6" fillId="0" borderId="16" xfId="4" applyFont="1" applyFill="1" applyBorder="1" applyAlignment="1">
      <alignment horizontal="left" vertical="center"/>
    </xf>
    <xf numFmtId="41" fontId="10" fillId="0" borderId="17" xfId="4" applyFont="1" applyFill="1" applyBorder="1">
      <alignment vertical="center"/>
    </xf>
    <xf numFmtId="0" fontId="19" fillId="0" borderId="0" xfId="3" applyFont="1" applyAlignment="1">
      <alignment horizontal="center" vertical="center"/>
    </xf>
    <xf numFmtId="41" fontId="4" fillId="0" borderId="83" xfId="3" applyNumberFormat="1" applyFont="1" applyBorder="1" applyAlignment="1">
      <alignment horizontal="left" vertical="center"/>
    </xf>
    <xf numFmtId="41" fontId="4" fillId="0" borderId="84" xfId="4" applyFont="1" applyBorder="1">
      <alignment vertical="center"/>
    </xf>
    <xf numFmtId="0" fontId="20" fillId="0" borderId="0" xfId="3" applyFont="1" applyFill="1" applyAlignment="1">
      <alignment vertical="center"/>
    </xf>
    <xf numFmtId="0" fontId="21" fillId="0" borderId="0" xfId="3" applyFont="1" applyFill="1" applyAlignment="1">
      <alignment vertical="center"/>
    </xf>
    <xf numFmtId="0" fontId="6" fillId="0" borderId="0" xfId="3" applyFont="1" applyFill="1" applyAlignment="1">
      <alignment horizontal="center" vertical="center"/>
    </xf>
    <xf numFmtId="41" fontId="6" fillId="0" borderId="0" xfId="3" applyNumberFormat="1" applyFont="1" applyFill="1" applyBorder="1" applyAlignment="1">
      <alignment horizontal="left" vertical="center"/>
    </xf>
    <xf numFmtId="41" fontId="4" fillId="0" borderId="0" xfId="4" applyFont="1" applyBorder="1">
      <alignment vertical="center"/>
    </xf>
    <xf numFmtId="0" fontId="6" fillId="0" borderId="0" xfId="3" applyFont="1" applyAlignment="1">
      <alignment horizontal="center" vertical="center"/>
    </xf>
    <xf numFmtId="0" fontId="4" fillId="0" borderId="0" xfId="3" applyFont="1" applyAlignment="1">
      <alignment vertical="center"/>
    </xf>
    <xf numFmtId="0" fontId="4" fillId="0" borderId="0" xfId="3" applyFont="1" applyAlignment="1">
      <alignment horizontal="center" vertical="center"/>
    </xf>
    <xf numFmtId="41" fontId="4" fillId="0" borderId="0" xfId="4" applyFont="1">
      <alignment vertical="center"/>
    </xf>
    <xf numFmtId="0" fontId="4" fillId="0" borderId="77" xfId="3" applyFont="1" applyBorder="1" applyAlignment="1">
      <alignment horizontal="center" vertical="center"/>
    </xf>
    <xf numFmtId="0" fontId="4" fillId="0" borderId="42" xfId="3" applyFont="1" applyBorder="1" applyAlignment="1">
      <alignment horizontal="center" vertical="center"/>
    </xf>
    <xf numFmtId="0" fontId="4" fillId="0" borderId="43" xfId="3" applyFont="1" applyBorder="1" applyAlignment="1">
      <alignment horizontal="center" vertical="center"/>
    </xf>
    <xf numFmtId="41" fontId="4" fillId="0" borderId="61" xfId="4" applyFont="1" applyBorder="1">
      <alignment vertical="center"/>
    </xf>
    <xf numFmtId="0" fontId="6" fillId="0" borderId="80" xfId="3" applyFont="1" applyBorder="1" applyAlignment="1">
      <alignment vertical="center"/>
    </xf>
    <xf numFmtId="0" fontId="6" fillId="0" borderId="40" xfId="3" applyFont="1" applyBorder="1" applyAlignment="1">
      <alignment vertical="center"/>
    </xf>
    <xf numFmtId="41" fontId="6" fillId="0" borderId="40" xfId="4" applyFont="1" applyBorder="1" applyAlignment="1">
      <alignment horizontal="center" vertical="center"/>
    </xf>
    <xf numFmtId="41" fontId="6" fillId="0" borderId="41" xfId="4" applyFont="1" applyBorder="1" applyAlignment="1">
      <alignment horizontal="center" vertical="center"/>
    </xf>
    <xf numFmtId="41" fontId="6" fillId="0" borderId="65" xfId="4" applyFont="1" applyBorder="1">
      <alignment vertical="center"/>
    </xf>
    <xf numFmtId="41" fontId="6" fillId="0" borderId="12" xfId="4" applyFont="1" applyBorder="1" applyAlignment="1">
      <alignment vertical="center"/>
    </xf>
    <xf numFmtId="41" fontId="6" fillId="0" borderId="13" xfId="4" applyFont="1" applyBorder="1" applyAlignment="1">
      <alignment vertical="center"/>
    </xf>
    <xf numFmtId="41" fontId="6" fillId="0" borderId="14" xfId="4" applyFont="1" applyBorder="1" applyAlignment="1">
      <alignment vertical="center"/>
    </xf>
    <xf numFmtId="41" fontId="6" fillId="0" borderId="66" xfId="4" applyFont="1" applyBorder="1" applyAlignment="1">
      <alignment vertical="center"/>
    </xf>
    <xf numFmtId="41" fontId="6" fillId="0" borderId="15" xfId="4" applyFont="1" applyBorder="1" applyAlignment="1">
      <alignment vertical="center"/>
    </xf>
    <xf numFmtId="41" fontId="6" fillId="0" borderId="16" xfId="4" applyFont="1" applyBorder="1" applyAlignment="1">
      <alignment vertical="center"/>
    </xf>
    <xf numFmtId="41" fontId="6" fillId="0" borderId="85" xfId="4" applyFont="1" applyBorder="1" applyAlignment="1">
      <alignment vertical="center"/>
    </xf>
    <xf numFmtId="41" fontId="6" fillId="0" borderId="0" xfId="4" applyFont="1">
      <alignment vertical="center"/>
    </xf>
    <xf numFmtId="41" fontId="4" fillId="0" borderId="81" xfId="4" applyFont="1" applyBorder="1" applyAlignment="1">
      <alignment horizontal="center" vertical="center"/>
    </xf>
    <xf numFmtId="41" fontId="6" fillId="0" borderId="86" xfId="4" applyFont="1" applyBorder="1" applyAlignment="1">
      <alignment vertical="center"/>
    </xf>
    <xf numFmtId="41" fontId="6" fillId="0" borderId="79" xfId="4" applyFont="1" applyBorder="1" applyAlignment="1">
      <alignment vertical="center"/>
    </xf>
    <xf numFmtId="41" fontId="6" fillId="0" borderId="61" xfId="4" applyFont="1" applyBorder="1" applyAlignment="1">
      <alignment vertical="center"/>
    </xf>
    <xf numFmtId="41" fontId="4" fillId="0" borderId="0" xfId="4" applyFont="1" applyBorder="1" applyAlignment="1">
      <alignment horizontal="center" vertical="center"/>
    </xf>
    <xf numFmtId="41" fontId="6" fillId="0" borderId="0" xfId="4" applyFont="1" applyBorder="1" applyAlignment="1">
      <alignment vertical="center"/>
    </xf>
    <xf numFmtId="41" fontId="6" fillId="0" borderId="0" xfId="4" applyFont="1" applyAlignment="1">
      <alignment vertical="center"/>
    </xf>
    <xf numFmtId="41" fontId="4" fillId="0" borderId="0" xfId="4" applyFont="1" applyAlignment="1">
      <alignment vertical="center"/>
    </xf>
    <xf numFmtId="177" fontId="14" fillId="0" borderId="0" xfId="3" applyNumberFormat="1" applyAlignment="1">
      <alignment vertical="center"/>
    </xf>
    <xf numFmtId="41" fontId="4" fillId="0" borderId="77" xfId="4" applyFont="1" applyBorder="1" applyAlignment="1">
      <alignment horizontal="center" vertical="center"/>
    </xf>
    <xf numFmtId="41" fontId="4" fillId="0" borderId="42" xfId="4" applyFont="1" applyBorder="1" applyAlignment="1">
      <alignment horizontal="center" vertical="center"/>
    </xf>
    <xf numFmtId="41" fontId="4" fillId="0" borderId="43" xfId="4" applyFont="1" applyBorder="1" applyAlignment="1">
      <alignment vertical="center"/>
    </xf>
    <xf numFmtId="41" fontId="4" fillId="0" borderId="61" xfId="4" applyFont="1" applyBorder="1" applyAlignment="1">
      <alignment vertical="center"/>
    </xf>
    <xf numFmtId="41" fontId="6" fillId="0" borderId="80" xfId="4" applyFont="1" applyBorder="1" applyAlignment="1">
      <alignment horizontal="left" vertical="center"/>
    </xf>
    <xf numFmtId="41" fontId="6" fillId="0" borderId="40" xfId="4" applyFont="1" applyBorder="1" applyAlignment="1">
      <alignment vertical="center"/>
    </xf>
    <xf numFmtId="41" fontId="6" fillId="0" borderId="41" xfId="4" applyFont="1" applyBorder="1" applyAlignment="1">
      <alignment vertical="center"/>
    </xf>
    <xf numFmtId="41" fontId="6" fillId="0" borderId="87" xfId="4" applyFont="1" applyBorder="1" applyAlignment="1">
      <alignment vertical="center"/>
    </xf>
    <xf numFmtId="41" fontId="6" fillId="0" borderId="12" xfId="4" applyFont="1" applyBorder="1" applyAlignment="1">
      <alignment horizontal="left" vertical="center"/>
    </xf>
    <xf numFmtId="0" fontId="6" fillId="0" borderId="12" xfId="3" applyFont="1" applyBorder="1" applyAlignment="1">
      <alignment horizontal="left" vertical="center"/>
    </xf>
    <xf numFmtId="0" fontId="6" fillId="0" borderId="13" xfId="3" applyFont="1" applyBorder="1" applyAlignment="1">
      <alignment vertical="center"/>
    </xf>
    <xf numFmtId="41" fontId="6" fillId="0" borderId="14" xfId="4" applyFont="1" applyBorder="1" applyAlignment="1">
      <alignment horizontal="center" vertical="center"/>
    </xf>
    <xf numFmtId="41" fontId="6" fillId="0" borderId="15" xfId="4" applyFont="1" applyBorder="1" applyAlignment="1">
      <alignment horizontal="left" vertical="center"/>
    </xf>
    <xf numFmtId="0" fontId="6" fillId="0" borderId="88" xfId="3" applyFont="1" applyBorder="1" applyAlignment="1">
      <alignment vertical="center"/>
    </xf>
    <xf numFmtId="41" fontId="6" fillId="0" borderId="88" xfId="4" applyFont="1" applyBorder="1" applyAlignment="1">
      <alignment vertical="center"/>
    </xf>
    <xf numFmtId="41" fontId="6" fillId="0" borderId="89" xfId="4" applyFont="1" applyBorder="1" applyAlignment="1">
      <alignment horizontal="center" vertical="center"/>
    </xf>
    <xf numFmtId="41" fontId="6" fillId="0" borderId="67" xfId="4" applyFont="1" applyBorder="1">
      <alignment vertical="center"/>
    </xf>
    <xf numFmtId="0" fontId="6" fillId="0" borderId="0" xfId="3" applyFont="1" applyAlignment="1">
      <alignment vertical="center"/>
    </xf>
    <xf numFmtId="0" fontId="4" fillId="0" borderId="81" xfId="3" applyFont="1" applyBorder="1" applyAlignment="1">
      <alignment horizontal="center" vertical="center"/>
    </xf>
    <xf numFmtId="41" fontId="6" fillId="0" borderId="86" xfId="4" applyFont="1" applyBorder="1" applyAlignment="1">
      <alignment horizontal="center" vertical="center"/>
    </xf>
    <xf numFmtId="41" fontId="6" fillId="0" borderId="79" xfId="4" applyFont="1" applyBorder="1" applyAlignment="1">
      <alignment horizontal="center" vertical="center"/>
    </xf>
    <xf numFmtId="41" fontId="6" fillId="0" borderId="61" xfId="4" applyFont="1" applyBorder="1">
      <alignment vertical="center"/>
    </xf>
    <xf numFmtId="0" fontId="6" fillId="0" borderId="61" xfId="3" applyFont="1" applyBorder="1" applyAlignment="1">
      <alignment vertical="center"/>
    </xf>
    <xf numFmtId="0" fontId="6" fillId="0" borderId="61" xfId="3" applyFont="1" applyBorder="1" applyAlignment="1">
      <alignment horizontal="center" vertical="center"/>
    </xf>
    <xf numFmtId="41" fontId="6" fillId="0" borderId="61" xfId="4" applyFont="1" applyBorder="1" applyAlignment="1">
      <alignment horizontal="center" vertical="center"/>
    </xf>
    <xf numFmtId="41" fontId="0" fillId="0" borderId="0" xfId="4" applyFont="1" applyAlignment="1">
      <alignment vertical="center"/>
    </xf>
    <xf numFmtId="41" fontId="17" fillId="0" borderId="0" xfId="4" applyFont="1" applyAlignment="1">
      <alignment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6" xfId="0" applyFont="1" applyFill="1" applyBorder="1" applyAlignment="1">
      <alignment horizontal="center" vertical="center"/>
    </xf>
    <xf numFmtId="41" fontId="6" fillId="0" borderId="81" xfId="3" applyNumberFormat="1" applyFont="1" applyFill="1" applyBorder="1" applyAlignment="1">
      <alignment horizontal="left" vertical="center"/>
    </xf>
    <xf numFmtId="41" fontId="6" fillId="0" borderId="79" xfId="3" applyNumberFormat="1" applyFont="1" applyFill="1" applyBorder="1" applyAlignment="1">
      <alignment horizontal="left" vertical="center"/>
    </xf>
    <xf numFmtId="0" fontId="4" fillId="3" borderId="61" xfId="3" applyFont="1" applyFill="1" applyBorder="1" applyAlignment="1">
      <alignment horizontal="left" vertical="center"/>
    </xf>
    <xf numFmtId="41" fontId="6" fillId="0" borderId="61" xfId="3" applyNumberFormat="1" applyFont="1" applyFill="1" applyBorder="1" applyAlignment="1">
      <alignment horizontal="left" vertical="center"/>
    </xf>
    <xf numFmtId="41" fontId="4" fillId="2" borderId="79" xfId="3" applyNumberFormat="1" applyFont="1" applyFill="1" applyBorder="1" applyAlignment="1">
      <alignment horizontal="left" vertical="center"/>
    </xf>
    <xf numFmtId="41" fontId="4" fillId="2" borderId="61" xfId="3" applyNumberFormat="1" applyFont="1" applyFill="1" applyBorder="1" applyAlignment="1">
      <alignment horizontal="left" vertical="center"/>
    </xf>
    <xf numFmtId="41" fontId="4" fillId="8" borderId="79" xfId="3" applyNumberFormat="1" applyFont="1" applyFill="1" applyBorder="1" applyAlignment="1">
      <alignment horizontal="left" vertical="center"/>
    </xf>
    <xf numFmtId="41" fontId="4" fillId="8" borderId="61" xfId="3" applyNumberFormat="1" applyFont="1" applyFill="1" applyBorder="1" applyAlignment="1">
      <alignment horizontal="left" vertical="center"/>
    </xf>
    <xf numFmtId="0" fontId="2" fillId="0" borderId="0" xfId="2" applyFont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4" fillId="3" borderId="33" xfId="2" applyFont="1" applyFill="1" applyBorder="1" applyAlignment="1">
      <alignment horizontal="center" vertical="center"/>
    </xf>
    <xf numFmtId="0" fontId="4" fillId="3" borderId="0" xfId="2" applyFont="1" applyFill="1" applyAlignment="1">
      <alignment horizontal="center" vertical="center"/>
    </xf>
  </cellXfs>
  <cellStyles count="5">
    <cellStyle name="쉼표 [0]" xfId="1" builtinId="6"/>
    <cellStyle name="쉼표 [0] 2" xfId="4" xr:uid="{77E2BC61-C963-4209-861F-5C3ACE2C351D}"/>
    <cellStyle name="표준" xfId="0" builtinId="0"/>
    <cellStyle name="표준 2" xfId="2" xr:uid="{00000000-0005-0000-0000-000002000000}"/>
    <cellStyle name="표준 3" xfId="3" xr:uid="{C7D5D761-358A-4C2E-B3BE-FB5888D24A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F332F-9A4D-40E9-8B34-77FBEE5D3334}">
  <sheetPr>
    <tabColor theme="4" tint="0.59999389629810485"/>
  </sheetPr>
  <dimension ref="A1:J74"/>
  <sheetViews>
    <sheetView tabSelected="1" topLeftCell="A13" zoomScale="90" zoomScaleNormal="90" workbookViewId="0">
      <selection activeCell="G26" sqref="G26"/>
    </sheetView>
  </sheetViews>
  <sheetFormatPr defaultColWidth="9.5" defaultRowHeight="15.95" customHeight="1" x14ac:dyDescent="0.15"/>
  <cols>
    <col min="1" max="1" width="17.33203125" style="1" bestFit="1" customWidth="1"/>
    <col min="2" max="2" width="26.33203125" style="1" bestFit="1" customWidth="1"/>
    <col min="3" max="3" width="10" style="1" bestFit="1" customWidth="1"/>
    <col min="4" max="4" width="16.33203125" style="27" bestFit="1" customWidth="1"/>
    <col min="5" max="5" width="43.1640625" style="27" bestFit="1" customWidth="1"/>
    <col min="6" max="6" width="38.5" style="1" bestFit="1" customWidth="1"/>
    <col min="7" max="7" width="9.5" style="1"/>
    <col min="8" max="8" width="9.5" style="27"/>
    <col min="9" max="9" width="5.5" style="1" bestFit="1" customWidth="1"/>
    <col min="10" max="16384" width="9.5" style="1"/>
  </cols>
  <sheetData>
    <row r="1" spans="1:10" ht="20.100000000000001" customHeight="1" x14ac:dyDescent="0.15">
      <c r="A1" s="322" t="s">
        <v>317</v>
      </c>
      <c r="B1" s="322"/>
      <c r="C1" s="323" t="s">
        <v>39</v>
      </c>
      <c r="D1" s="323"/>
      <c r="F1" s="24"/>
    </row>
    <row r="2" spans="1:10" ht="20.100000000000001" customHeight="1" x14ac:dyDescent="0.15">
      <c r="E2" s="24"/>
      <c r="F2" s="24"/>
    </row>
    <row r="3" spans="1:10" ht="20.100000000000001" customHeight="1" x14ac:dyDescent="0.15">
      <c r="A3" s="324"/>
      <c r="B3" s="324"/>
      <c r="C3" s="324"/>
      <c r="D3" s="324"/>
      <c r="E3" s="324"/>
      <c r="F3" s="187"/>
    </row>
    <row r="4" spans="1:10" ht="20.100000000000001" customHeight="1" x14ac:dyDescent="0.15">
      <c r="A4" s="2" t="s">
        <v>56</v>
      </c>
      <c r="B4" s="2"/>
      <c r="E4" s="28" t="s">
        <v>41</v>
      </c>
    </row>
    <row r="5" spans="1:10" ht="15.95" customHeight="1" x14ac:dyDescent="0.15">
      <c r="A5" s="30" t="s">
        <v>17</v>
      </c>
      <c r="B5" s="31" t="s">
        <v>40</v>
      </c>
      <c r="C5" s="65" t="s">
        <v>18</v>
      </c>
      <c r="D5" s="50" t="s">
        <v>54</v>
      </c>
      <c r="E5" s="32" t="s">
        <v>186</v>
      </c>
      <c r="F5" s="32" t="s">
        <v>37</v>
      </c>
      <c r="H5" s="86" t="s">
        <v>78</v>
      </c>
    </row>
    <row r="6" spans="1:10" ht="15.95" customHeight="1" x14ac:dyDescent="0.15">
      <c r="A6" s="18" t="s">
        <v>139</v>
      </c>
      <c r="B6" s="19" t="s">
        <v>140</v>
      </c>
      <c r="C6" s="66"/>
      <c r="D6" s="94">
        <v>130</v>
      </c>
      <c r="E6" s="96" t="s">
        <v>346</v>
      </c>
      <c r="F6" s="17"/>
      <c r="G6" s="1">
        <f>D6/26</f>
        <v>5</v>
      </c>
      <c r="H6" s="315"/>
      <c r="J6" s="24"/>
    </row>
    <row r="7" spans="1:10" ht="15.95" customHeight="1" x14ac:dyDescent="0.15">
      <c r="A7" s="18" t="s">
        <v>64</v>
      </c>
      <c r="B7" s="19" t="s">
        <v>140</v>
      </c>
      <c r="C7" s="66"/>
      <c r="D7" s="94" t="s">
        <v>344</v>
      </c>
      <c r="E7" s="96" t="s">
        <v>347</v>
      </c>
      <c r="F7" s="147" t="s">
        <v>132</v>
      </c>
      <c r="H7" s="317"/>
    </row>
    <row r="8" spans="1:10" ht="15.95" customHeight="1" x14ac:dyDescent="0.15">
      <c r="A8" s="166" t="s">
        <v>142</v>
      </c>
      <c r="B8" s="167" t="s">
        <v>143</v>
      </c>
      <c r="C8" s="51">
        <f>G8</f>
        <v>94.5</v>
      </c>
      <c r="D8" s="90" t="s">
        <v>133</v>
      </c>
      <c r="E8" s="96">
        <v>21</v>
      </c>
      <c r="F8" s="165"/>
      <c r="G8" s="1">
        <f>E8*4.5</f>
        <v>94.5</v>
      </c>
    </row>
    <row r="9" spans="1:10" ht="15.95" customHeight="1" x14ac:dyDescent="0.15">
      <c r="A9" s="166" t="s">
        <v>144</v>
      </c>
      <c r="B9" s="168" t="s">
        <v>149</v>
      </c>
      <c r="C9" s="51">
        <f>G9</f>
        <v>50</v>
      </c>
      <c r="D9" s="171" t="s">
        <v>160</v>
      </c>
      <c r="E9" s="48">
        <v>10</v>
      </c>
      <c r="F9" s="17"/>
      <c r="G9" s="1">
        <f>E9*5</f>
        <v>50</v>
      </c>
    </row>
    <row r="10" spans="1:10" ht="15.95" customHeight="1" x14ac:dyDescent="0.15">
      <c r="A10" s="166"/>
      <c r="B10" s="168"/>
      <c r="C10" s="51"/>
      <c r="D10" s="90"/>
      <c r="E10" s="174"/>
      <c r="F10" s="165"/>
      <c r="H10" s="203"/>
    </row>
    <row r="11" spans="1:10" ht="15.95" customHeight="1" x14ac:dyDescent="0.15">
      <c r="A11" s="46" t="s">
        <v>145</v>
      </c>
      <c r="B11" s="52" t="s">
        <v>149</v>
      </c>
      <c r="C11" s="51">
        <f>G11</f>
        <v>84</v>
      </c>
      <c r="D11" s="90" t="s">
        <v>146</v>
      </c>
      <c r="E11" s="48">
        <v>21</v>
      </c>
      <c r="F11" s="48"/>
      <c r="G11" s="1">
        <f>E11*4</f>
        <v>84</v>
      </c>
    </row>
    <row r="12" spans="1:10" ht="15.95" customHeight="1" x14ac:dyDescent="0.15">
      <c r="A12" s="46" t="s">
        <v>13</v>
      </c>
      <c r="B12" s="52" t="s">
        <v>149</v>
      </c>
      <c r="C12" s="51">
        <f>G12</f>
        <v>66</v>
      </c>
      <c r="D12" s="90" t="s">
        <v>147</v>
      </c>
      <c r="E12" s="48">
        <v>11</v>
      </c>
      <c r="F12" s="48"/>
      <c r="G12" s="1">
        <f>E12*6</f>
        <v>66</v>
      </c>
    </row>
    <row r="13" spans="1:10" ht="15.95" customHeight="1" x14ac:dyDescent="0.15">
      <c r="A13" s="175"/>
      <c r="B13" s="176"/>
      <c r="C13" s="177"/>
      <c r="D13" s="178"/>
      <c r="E13" s="179"/>
      <c r="F13" s="179"/>
    </row>
    <row r="15" spans="1:10" ht="15.95" customHeight="1" x14ac:dyDescent="0.15">
      <c r="A15" s="2" t="s">
        <v>14</v>
      </c>
      <c r="B15" s="2"/>
      <c r="E15" s="27" t="s">
        <v>45</v>
      </c>
    </row>
    <row r="16" spans="1:10" ht="15.95" customHeight="1" x14ac:dyDescent="0.15">
      <c r="A16" s="30" t="s">
        <v>59</v>
      </c>
      <c r="B16" s="31" t="s">
        <v>43</v>
      </c>
      <c r="C16" s="325" t="s">
        <v>17</v>
      </c>
      <c r="D16" s="326"/>
      <c r="E16" s="327"/>
      <c r="F16" s="32" t="s">
        <v>9</v>
      </c>
      <c r="H16" s="86" t="s">
        <v>78</v>
      </c>
    </row>
    <row r="17" spans="1:9" ht="15.95" customHeight="1" x14ac:dyDescent="0.15">
      <c r="A17" s="95">
        <v>15</v>
      </c>
      <c r="B17" s="29"/>
      <c r="C17" s="312" t="s">
        <v>334</v>
      </c>
      <c r="D17" s="313"/>
      <c r="E17" s="314"/>
      <c r="F17" s="36" t="s">
        <v>3</v>
      </c>
      <c r="H17" s="315"/>
    </row>
    <row r="18" spans="1:9" ht="15.95" customHeight="1" x14ac:dyDescent="0.15">
      <c r="A18" s="188">
        <v>15</v>
      </c>
      <c r="B18" s="189"/>
      <c r="C18" s="318" t="s">
        <v>154</v>
      </c>
      <c r="D18" s="319"/>
      <c r="E18" s="320"/>
      <c r="F18" s="190" t="s">
        <v>4</v>
      </c>
      <c r="H18" s="316"/>
    </row>
    <row r="19" spans="1:9" ht="32.1" customHeight="1" x14ac:dyDescent="0.15">
      <c r="A19" s="95">
        <v>20</v>
      </c>
      <c r="B19" s="29"/>
      <c r="C19" s="321" t="s">
        <v>185</v>
      </c>
      <c r="D19" s="313"/>
      <c r="E19" s="314"/>
      <c r="F19" s="36" t="s">
        <v>5</v>
      </c>
      <c r="H19" s="317"/>
    </row>
    <row r="20" spans="1:9" ht="15.95" customHeight="1" x14ac:dyDescent="0.15">
      <c r="A20" s="61">
        <v>20</v>
      </c>
      <c r="B20" s="62" t="s">
        <v>62</v>
      </c>
      <c r="C20" s="321" t="s">
        <v>60</v>
      </c>
      <c r="D20" s="328"/>
      <c r="E20" s="329"/>
      <c r="F20" s="57"/>
    </row>
    <row r="21" spans="1:9" ht="15.95" customHeight="1" x14ac:dyDescent="0.15">
      <c r="A21" s="330"/>
      <c r="B21" s="331"/>
      <c r="C21" s="331"/>
      <c r="D21" s="331"/>
      <c r="E21" s="331"/>
      <c r="F21" s="332"/>
    </row>
    <row r="22" spans="1:9" ht="15.95" customHeight="1" x14ac:dyDescent="0.15">
      <c r="C22" s="2"/>
      <c r="D22" s="12"/>
    </row>
    <row r="23" spans="1:9" ht="15.95" customHeight="1" x14ac:dyDescent="0.15">
      <c r="A23" s="2" t="s">
        <v>131</v>
      </c>
      <c r="B23" s="2"/>
      <c r="E23" s="28" t="s">
        <v>41</v>
      </c>
    </row>
    <row r="24" spans="1:9" ht="15.95" customHeight="1" x14ac:dyDescent="0.15">
      <c r="A24" s="30" t="s">
        <v>17</v>
      </c>
      <c r="B24" s="31" t="s">
        <v>8</v>
      </c>
      <c r="C24" s="65" t="s">
        <v>18</v>
      </c>
      <c r="D24" s="50" t="s">
        <v>54</v>
      </c>
      <c r="E24" s="65" t="s">
        <v>79</v>
      </c>
      <c r="F24" s="32" t="s">
        <v>37</v>
      </c>
      <c r="G24" s="54"/>
      <c r="H24" s="54"/>
    </row>
    <row r="25" spans="1:9" ht="15.95" customHeight="1" x14ac:dyDescent="0.15">
      <c r="A25" s="169" t="s">
        <v>10</v>
      </c>
      <c r="B25" s="83" t="s">
        <v>153</v>
      </c>
      <c r="C25" s="170">
        <f>G25</f>
        <v>237.35</v>
      </c>
      <c r="D25" s="148" t="s">
        <v>318</v>
      </c>
      <c r="E25" s="88" t="s">
        <v>202</v>
      </c>
      <c r="F25" s="147" t="s">
        <v>138</v>
      </c>
      <c r="G25" s="1">
        <f>234.95+H25</f>
        <v>237.35</v>
      </c>
      <c r="H25" s="27">
        <f>1.6*I25</f>
        <v>2.4000000000000004</v>
      </c>
      <c r="I25" s="1">
        <v>1.5</v>
      </c>
    </row>
    <row r="26" spans="1:9" ht="15.95" customHeight="1" x14ac:dyDescent="0.15">
      <c r="A26" s="84" t="s">
        <v>70</v>
      </c>
      <c r="B26" s="83" t="s">
        <v>153</v>
      </c>
      <c r="C26" s="66">
        <f>D26+H26</f>
        <v>194.95</v>
      </c>
      <c r="D26" s="49">
        <v>194.95</v>
      </c>
      <c r="E26" s="88"/>
      <c r="F26" s="149" t="s">
        <v>172</v>
      </c>
      <c r="H26" s="27">
        <f t="shared" ref="H26:H33" si="0">1.6*I26</f>
        <v>0</v>
      </c>
    </row>
    <row r="27" spans="1:9" ht="15.95" customHeight="1" x14ac:dyDescent="0.15">
      <c r="A27" s="84" t="s">
        <v>68</v>
      </c>
      <c r="B27" s="83" t="s">
        <v>75</v>
      </c>
      <c r="C27" s="66">
        <f t="shared" ref="C27:C31" si="1">D27+H27</f>
        <v>174.4</v>
      </c>
      <c r="D27" s="49">
        <v>174.4</v>
      </c>
      <c r="E27" s="88"/>
      <c r="F27" s="149" t="s">
        <v>172</v>
      </c>
      <c r="H27" s="27">
        <f t="shared" si="0"/>
        <v>0</v>
      </c>
    </row>
    <row r="28" spans="1:9" ht="15.95" customHeight="1" x14ac:dyDescent="0.15">
      <c r="A28" s="18" t="s">
        <v>81</v>
      </c>
      <c r="B28" s="19" t="s">
        <v>127</v>
      </c>
      <c r="C28" s="66">
        <f t="shared" si="1"/>
        <v>123.3</v>
      </c>
      <c r="D28" s="49">
        <v>123.3</v>
      </c>
      <c r="E28" s="88"/>
      <c r="F28" s="57"/>
      <c r="H28" s="27">
        <f t="shared" si="0"/>
        <v>0</v>
      </c>
      <c r="I28" s="24"/>
    </row>
    <row r="29" spans="1:9" ht="15.95" customHeight="1" x14ac:dyDescent="0.15">
      <c r="A29" s="18" t="s">
        <v>42</v>
      </c>
      <c r="B29" s="83" t="s">
        <v>75</v>
      </c>
      <c r="C29" s="66">
        <f t="shared" si="1"/>
        <v>151.6</v>
      </c>
      <c r="D29" s="49">
        <v>164.4</v>
      </c>
      <c r="E29" s="88" t="s">
        <v>349</v>
      </c>
      <c r="F29" s="36"/>
      <c r="G29" s="1">
        <f>160/26</f>
        <v>6.1538461538461542</v>
      </c>
      <c r="H29" s="27">
        <f t="shared" si="0"/>
        <v>-12.8</v>
      </c>
      <c r="I29" s="24">
        <v>-8</v>
      </c>
    </row>
    <row r="30" spans="1:9" ht="15.95" customHeight="1" x14ac:dyDescent="0.15">
      <c r="A30" s="46" t="s">
        <v>69</v>
      </c>
      <c r="B30" s="47" t="s">
        <v>75</v>
      </c>
      <c r="C30" s="66">
        <f t="shared" si="1"/>
        <v>113.2</v>
      </c>
      <c r="D30" s="51">
        <v>164.4</v>
      </c>
      <c r="E30" s="88"/>
      <c r="F30" s="57" t="s">
        <v>339</v>
      </c>
      <c r="G30" s="1">
        <f>D30+H30</f>
        <v>113.2</v>
      </c>
      <c r="H30" s="27">
        <f t="shared" si="0"/>
        <v>-51.2</v>
      </c>
      <c r="I30" s="24">
        <v>-32</v>
      </c>
    </row>
    <row r="31" spans="1:9" ht="15.95" customHeight="1" x14ac:dyDescent="0.15">
      <c r="A31" s="46" t="s">
        <v>82</v>
      </c>
      <c r="B31" s="47" t="s">
        <v>75</v>
      </c>
      <c r="C31" s="66">
        <f t="shared" si="1"/>
        <v>164.4</v>
      </c>
      <c r="D31" s="51">
        <v>164.4</v>
      </c>
      <c r="E31" s="88"/>
      <c r="F31" s="57"/>
      <c r="G31" s="1">
        <f>160/26</f>
        <v>6.1538461538461542</v>
      </c>
      <c r="H31" s="27">
        <f t="shared" si="0"/>
        <v>0</v>
      </c>
      <c r="I31" s="24"/>
    </row>
    <row r="32" spans="1:9" ht="15.95" customHeight="1" x14ac:dyDescent="0.15">
      <c r="A32" s="46" t="s">
        <v>57</v>
      </c>
      <c r="B32" s="47" t="s">
        <v>127</v>
      </c>
      <c r="C32" s="51">
        <f>G32</f>
        <v>103.95</v>
      </c>
      <c r="D32" s="67" t="s">
        <v>319</v>
      </c>
      <c r="E32" s="69">
        <v>21</v>
      </c>
      <c r="F32" s="57"/>
      <c r="G32" s="1">
        <f>E32*4.95</f>
        <v>103.95</v>
      </c>
      <c r="I32" s="24"/>
    </row>
    <row r="33" spans="1:9" ht="15.95" customHeight="1" x14ac:dyDescent="0.15">
      <c r="A33" s="197" t="s">
        <v>184</v>
      </c>
      <c r="B33" s="47" t="s">
        <v>187</v>
      </c>
      <c r="C33" s="67">
        <f>G33</f>
        <v>48</v>
      </c>
      <c r="D33" s="67">
        <v>82.2</v>
      </c>
      <c r="E33" s="204" t="s">
        <v>338</v>
      </c>
      <c r="F33" s="57" t="s">
        <v>340</v>
      </c>
      <c r="G33" s="23">
        <f>80+H33</f>
        <v>48</v>
      </c>
      <c r="H33" s="27">
        <f t="shared" si="0"/>
        <v>-32</v>
      </c>
      <c r="I33" s="24">
        <v>-20</v>
      </c>
    </row>
    <row r="34" spans="1:9" ht="15.95" customHeight="1" x14ac:dyDescent="0.15">
      <c r="A34" s="197"/>
      <c r="B34" s="47"/>
      <c r="C34" s="67"/>
      <c r="D34" s="67"/>
      <c r="E34" s="90"/>
      <c r="F34" s="57"/>
      <c r="G34" s="23"/>
      <c r="H34" s="28"/>
    </row>
    <row r="35" spans="1:9" ht="15.95" customHeight="1" x14ac:dyDescent="0.15">
      <c r="A35" s="197"/>
      <c r="B35" s="47"/>
      <c r="C35" s="67"/>
      <c r="D35" s="67"/>
      <c r="E35" s="90"/>
      <c r="F35" s="57"/>
      <c r="G35" s="23"/>
      <c r="H35" s="28"/>
    </row>
    <row r="36" spans="1:9" ht="15.95" customHeight="1" x14ac:dyDescent="0.15">
      <c r="A36" s="333" t="s">
        <v>165</v>
      </c>
      <c r="B36" s="334"/>
      <c r="C36" s="334"/>
      <c r="D36" s="334"/>
      <c r="E36" s="334"/>
      <c r="F36" s="335"/>
      <c r="G36" s="1">
        <f>3*1.6</f>
        <v>4.8000000000000007</v>
      </c>
    </row>
    <row r="37" spans="1:9" ht="15.95" customHeight="1" x14ac:dyDescent="0.15">
      <c r="A37" s="26"/>
      <c r="B37" s="2"/>
      <c r="E37" s="28" t="s">
        <v>41</v>
      </c>
    </row>
    <row r="38" spans="1:9" ht="15.95" customHeight="1" x14ac:dyDescent="0.15">
      <c r="A38" s="26"/>
      <c r="B38" s="2"/>
      <c r="E38" s="28"/>
    </row>
    <row r="39" spans="1:9" ht="15.95" customHeight="1" thickBot="1" x14ac:dyDescent="0.2">
      <c r="A39" s="26" t="s">
        <v>129</v>
      </c>
      <c r="B39" s="2"/>
      <c r="E39" s="28"/>
    </row>
    <row r="40" spans="1:9" ht="12" thickBot="1" x14ac:dyDescent="0.2">
      <c r="A40" s="33" t="s">
        <v>17</v>
      </c>
      <c r="B40" s="34" t="s">
        <v>40</v>
      </c>
      <c r="C40" s="93" t="s">
        <v>63</v>
      </c>
      <c r="D40" s="34" t="s">
        <v>80</v>
      </c>
      <c r="E40" s="58" t="s">
        <v>9</v>
      </c>
      <c r="F40" s="35" t="s">
        <v>37</v>
      </c>
      <c r="H40" s="86" t="s">
        <v>78</v>
      </c>
    </row>
    <row r="41" spans="1:9" ht="15.95" customHeight="1" x14ac:dyDescent="0.15">
      <c r="A41" s="131"/>
      <c r="B41" s="132"/>
      <c r="C41" s="133"/>
      <c r="D41" s="134"/>
      <c r="E41" s="135"/>
      <c r="F41" s="136"/>
      <c r="H41" s="315"/>
    </row>
    <row r="42" spans="1:9" ht="15.95" customHeight="1" x14ac:dyDescent="0.15">
      <c r="A42" s="119" t="s">
        <v>55</v>
      </c>
      <c r="B42" s="120" t="s">
        <v>167</v>
      </c>
      <c r="C42" s="121">
        <v>199</v>
      </c>
      <c r="D42" s="122"/>
      <c r="E42" s="123"/>
      <c r="F42" s="124"/>
      <c r="H42" s="316"/>
    </row>
    <row r="43" spans="1:9" ht="15.95" customHeight="1" x14ac:dyDescent="0.15">
      <c r="A43" s="89" t="s">
        <v>148</v>
      </c>
      <c r="B43" s="68" t="s">
        <v>111</v>
      </c>
      <c r="C43" s="67">
        <v>273</v>
      </c>
      <c r="D43" s="90"/>
      <c r="E43" s="91"/>
      <c r="F43" s="92"/>
      <c r="G43" s="53"/>
      <c r="H43" s="317"/>
    </row>
    <row r="44" spans="1:9" ht="15.95" customHeight="1" x14ac:dyDescent="0.15">
      <c r="A44" s="89" t="s">
        <v>46</v>
      </c>
      <c r="B44" s="68" t="s">
        <v>155</v>
      </c>
      <c r="C44" s="67">
        <v>210</v>
      </c>
      <c r="D44" s="90"/>
      <c r="E44" s="91" t="s">
        <v>137</v>
      </c>
      <c r="F44" s="146"/>
      <c r="G44" s="53"/>
      <c r="H44" s="118"/>
    </row>
    <row r="45" spans="1:9" ht="15.95" customHeight="1" x14ac:dyDescent="0.15">
      <c r="A45" s="89" t="s">
        <v>151</v>
      </c>
      <c r="B45" s="68" t="s">
        <v>194</v>
      </c>
      <c r="C45" s="67">
        <v>134</v>
      </c>
      <c r="D45" s="90"/>
      <c r="E45" s="91"/>
      <c r="F45" s="180"/>
      <c r="G45" s="53"/>
      <c r="H45" s="118"/>
    </row>
    <row r="46" spans="1:9" ht="15.95" customHeight="1" x14ac:dyDescent="0.15">
      <c r="A46" s="89" t="s">
        <v>150</v>
      </c>
      <c r="B46" s="68" t="s">
        <v>111</v>
      </c>
      <c r="C46" s="67">
        <v>304</v>
      </c>
      <c r="D46" s="90"/>
      <c r="E46" s="91" t="s">
        <v>166</v>
      </c>
      <c r="F46" s="146"/>
      <c r="G46" s="53"/>
      <c r="H46" s="118"/>
    </row>
    <row r="47" spans="1:9" ht="15.95" customHeight="1" x14ac:dyDescent="0.15">
      <c r="A47" s="89" t="s">
        <v>189</v>
      </c>
      <c r="B47" s="68" t="s">
        <v>190</v>
      </c>
      <c r="C47" s="67">
        <v>286</v>
      </c>
      <c r="D47" s="90"/>
      <c r="E47" s="91"/>
      <c r="F47" s="146"/>
      <c r="G47" s="53"/>
    </row>
    <row r="48" spans="1:9" ht="15.95" customHeight="1" x14ac:dyDescent="0.15">
      <c r="A48" s="89" t="s">
        <v>320</v>
      </c>
      <c r="B48" s="68" t="s">
        <v>321</v>
      </c>
      <c r="C48" s="67">
        <v>82</v>
      </c>
      <c r="D48" s="90"/>
      <c r="E48" s="91" t="s">
        <v>322</v>
      </c>
      <c r="F48" s="146"/>
      <c r="G48" s="53"/>
    </row>
    <row r="49" spans="1:9" ht="15.95" customHeight="1" x14ac:dyDescent="0.15">
      <c r="A49" s="89"/>
      <c r="B49" s="68"/>
      <c r="C49" s="67"/>
      <c r="D49" s="90"/>
      <c r="E49" s="91"/>
      <c r="F49" s="146"/>
      <c r="G49" s="53"/>
    </row>
    <row r="50" spans="1:9" ht="15.95" customHeight="1" thickBot="1" x14ac:dyDescent="0.2">
      <c r="A50" s="181"/>
      <c r="B50" s="182"/>
      <c r="C50" s="183"/>
      <c r="D50" s="184"/>
      <c r="E50" s="185"/>
      <c r="F50" s="186"/>
      <c r="G50" s="53"/>
    </row>
    <row r="51" spans="1:9" ht="15.95" customHeight="1" x14ac:dyDescent="0.15">
      <c r="A51" s="138"/>
      <c r="B51" s="138"/>
      <c r="C51" s="26"/>
      <c r="D51" s="54"/>
      <c r="E51" s="54" t="s">
        <v>156</v>
      </c>
      <c r="F51" s="139"/>
      <c r="G51" s="23"/>
      <c r="H51" s="118"/>
      <c r="I51" s="140"/>
    </row>
    <row r="52" spans="1:9" ht="15.95" customHeight="1" thickBot="1" x14ac:dyDescent="0.2">
      <c r="A52" s="26" t="s">
        <v>152</v>
      </c>
      <c r="B52" s="138"/>
      <c r="C52" s="26"/>
      <c r="D52" s="54"/>
      <c r="E52" s="54"/>
      <c r="F52" s="139"/>
      <c r="G52" s="23"/>
      <c r="H52" s="118"/>
      <c r="I52" s="140"/>
    </row>
    <row r="53" spans="1:9" ht="15.95" customHeight="1" x14ac:dyDescent="0.15">
      <c r="A53" s="141" t="s">
        <v>36</v>
      </c>
      <c r="B53" s="142"/>
      <c r="C53" s="143">
        <f>G53</f>
        <v>34</v>
      </c>
      <c r="D53" s="159"/>
      <c r="E53" s="144" t="s">
        <v>335</v>
      </c>
      <c r="F53" s="145" t="s">
        <v>193</v>
      </c>
      <c r="G53" s="53">
        <f>8.5*4</f>
        <v>34</v>
      </c>
    </row>
    <row r="54" spans="1:9" ht="15.95" customHeight="1" x14ac:dyDescent="0.15">
      <c r="A54" s="137" t="s">
        <v>15</v>
      </c>
      <c r="B54" s="68"/>
      <c r="C54" s="67">
        <v>36</v>
      </c>
      <c r="D54" s="160"/>
      <c r="E54" s="158"/>
      <c r="F54" s="157" t="s">
        <v>174</v>
      </c>
    </row>
    <row r="55" spans="1:9" ht="15.95" customHeight="1" x14ac:dyDescent="0.15">
      <c r="A55" s="89"/>
      <c r="B55" s="68"/>
      <c r="C55" s="67"/>
      <c r="D55" s="160"/>
      <c r="E55" s="91"/>
      <c r="F55" s="78"/>
      <c r="G55" s="53"/>
    </row>
    <row r="56" spans="1:9" ht="15.95" customHeight="1" x14ac:dyDescent="0.15">
      <c r="A56" s="89" t="s">
        <v>341</v>
      </c>
      <c r="B56" s="68"/>
      <c r="C56" s="67">
        <v>6</v>
      </c>
      <c r="D56" s="160"/>
      <c r="E56" s="91"/>
      <c r="F56" s="78"/>
      <c r="G56" s="53"/>
    </row>
    <row r="57" spans="1:9" ht="15.95" customHeight="1" x14ac:dyDescent="0.15">
      <c r="A57" s="89" t="s">
        <v>336</v>
      </c>
      <c r="B57" s="68"/>
      <c r="C57" s="67">
        <v>2</v>
      </c>
      <c r="D57" s="160"/>
      <c r="E57" s="91"/>
      <c r="F57" s="78"/>
      <c r="G57" s="53"/>
    </row>
    <row r="58" spans="1:9" ht="15.95" customHeight="1" x14ac:dyDescent="0.15">
      <c r="A58" s="89" t="s">
        <v>337</v>
      </c>
      <c r="B58" s="68"/>
      <c r="C58" s="67">
        <v>2</v>
      </c>
      <c r="D58" s="160"/>
      <c r="E58" s="91"/>
      <c r="F58" s="78"/>
      <c r="G58" s="53"/>
    </row>
    <row r="59" spans="1:9" ht="15.95" customHeight="1" x14ac:dyDescent="0.15">
      <c r="A59" s="89" t="s">
        <v>342</v>
      </c>
      <c r="B59" s="68"/>
      <c r="C59" s="67">
        <v>12</v>
      </c>
      <c r="D59" s="160"/>
      <c r="E59" s="91"/>
      <c r="F59" s="78"/>
      <c r="G59" s="53"/>
    </row>
    <row r="60" spans="1:9" ht="15.95" customHeight="1" x14ac:dyDescent="0.15">
      <c r="A60" s="89" t="s">
        <v>350</v>
      </c>
      <c r="B60" s="68"/>
      <c r="C60" s="67">
        <v>2</v>
      </c>
      <c r="D60" s="160"/>
      <c r="E60" s="91"/>
      <c r="F60" s="78"/>
      <c r="G60" s="53"/>
    </row>
    <row r="61" spans="1:9" ht="15.95" customHeight="1" x14ac:dyDescent="0.15">
      <c r="A61" s="89" t="s">
        <v>351</v>
      </c>
      <c r="B61" s="68"/>
      <c r="C61" s="67">
        <v>6</v>
      </c>
      <c r="D61" s="160"/>
      <c r="E61" s="91"/>
      <c r="F61" s="78"/>
      <c r="G61" s="53"/>
    </row>
    <row r="62" spans="1:9" ht="15.95" customHeight="1" x14ac:dyDescent="0.15">
      <c r="A62" s="89" t="s">
        <v>323</v>
      </c>
      <c r="B62" s="68"/>
      <c r="C62" s="67">
        <v>10</v>
      </c>
      <c r="D62" s="160"/>
      <c r="E62" s="91" t="s">
        <v>333</v>
      </c>
      <c r="F62" s="78"/>
      <c r="G62" s="53"/>
    </row>
    <row r="63" spans="1:9" ht="15.95" customHeight="1" thickBot="1" x14ac:dyDescent="0.2">
      <c r="A63" s="79"/>
      <c r="B63" s="80"/>
      <c r="C63" s="87"/>
      <c r="D63" s="161"/>
      <c r="E63" s="82"/>
      <c r="F63" s="81"/>
    </row>
    <row r="64" spans="1:9" ht="15" customHeight="1" x14ac:dyDescent="0.15">
      <c r="A64" s="26"/>
      <c r="B64" s="2"/>
      <c r="E64" s="28"/>
    </row>
    <row r="65" spans="1:10" ht="15" customHeight="1" thickBot="1" x14ac:dyDescent="0.2">
      <c r="A65" s="2" t="s">
        <v>130</v>
      </c>
      <c r="B65" s="2"/>
      <c r="E65" s="28"/>
      <c r="F65" s="24"/>
    </row>
    <row r="66" spans="1:10" ht="15" customHeight="1" x14ac:dyDescent="0.15">
      <c r="A66" s="70" t="s">
        <v>77</v>
      </c>
      <c r="B66" s="71" t="s">
        <v>76</v>
      </c>
      <c r="C66" s="72" t="s">
        <v>65</v>
      </c>
      <c r="D66" s="71" t="s">
        <v>29</v>
      </c>
      <c r="E66" s="73" t="s">
        <v>37</v>
      </c>
      <c r="F66" s="199" t="s">
        <v>54</v>
      </c>
      <c r="G66" s="54"/>
      <c r="H66" s="86" t="s">
        <v>78</v>
      </c>
    </row>
    <row r="67" spans="1:10" ht="15" customHeight="1" x14ac:dyDescent="0.15">
      <c r="A67" s="85" t="s">
        <v>324</v>
      </c>
      <c r="B67" s="172" t="s">
        <v>325</v>
      </c>
      <c r="C67" s="60">
        <v>28.4</v>
      </c>
      <c r="D67" s="59">
        <v>1</v>
      </c>
      <c r="E67" s="74"/>
      <c r="F67" s="200" t="s">
        <v>329</v>
      </c>
      <c r="G67" s="2"/>
      <c r="H67" s="336"/>
    </row>
    <row r="68" spans="1:10" ht="15" customHeight="1" x14ac:dyDescent="0.15">
      <c r="A68" s="85" t="s">
        <v>36</v>
      </c>
      <c r="B68" s="172" t="s">
        <v>326</v>
      </c>
      <c r="C68" s="60">
        <v>14.2</v>
      </c>
      <c r="D68" s="59">
        <v>1</v>
      </c>
      <c r="E68" s="74"/>
      <c r="F68" s="201" t="s">
        <v>330</v>
      </c>
      <c r="G68" s="2"/>
      <c r="H68" s="337"/>
    </row>
    <row r="69" spans="1:10" ht="15" customHeight="1" x14ac:dyDescent="0.15">
      <c r="A69" s="85" t="s">
        <v>42</v>
      </c>
      <c r="B69" s="172" t="s">
        <v>327</v>
      </c>
      <c r="C69" s="60">
        <v>14.2</v>
      </c>
      <c r="D69" s="59">
        <v>1</v>
      </c>
      <c r="E69" s="74" t="s">
        <v>348</v>
      </c>
      <c r="F69" s="201" t="s">
        <v>331</v>
      </c>
      <c r="G69" s="2"/>
    </row>
    <row r="70" spans="1:10" ht="15" customHeight="1" x14ac:dyDescent="0.15">
      <c r="A70" s="85" t="s">
        <v>196</v>
      </c>
      <c r="B70" s="172" t="s">
        <v>328</v>
      </c>
      <c r="C70" s="60">
        <v>37.4</v>
      </c>
      <c r="D70" s="59">
        <v>3.5</v>
      </c>
      <c r="E70" s="74"/>
      <c r="F70" s="201"/>
      <c r="G70" s="2"/>
    </row>
    <row r="71" spans="1:10" s="27" customFormat="1" ht="15" customHeight="1" thickBot="1" x14ac:dyDescent="0.2">
      <c r="A71" s="198"/>
      <c r="B71" s="173"/>
      <c r="C71" s="75"/>
      <c r="D71" s="76"/>
      <c r="E71" s="77"/>
      <c r="F71" s="202" t="s">
        <v>332</v>
      </c>
      <c r="G71" s="1"/>
      <c r="I71" s="1"/>
      <c r="J71" s="1"/>
    </row>
    <row r="72" spans="1:10" s="27" customFormat="1" ht="15" customHeight="1" x14ac:dyDescent="0.15">
      <c r="A72" s="1"/>
      <c r="B72" s="1"/>
      <c r="C72" s="1"/>
      <c r="F72" s="1"/>
      <c r="G72" s="1"/>
      <c r="I72" s="1"/>
      <c r="J72" s="1"/>
    </row>
    <row r="73" spans="1:10" s="27" customFormat="1" ht="15.95" customHeight="1" x14ac:dyDescent="0.15">
      <c r="A73" s="2"/>
      <c r="B73" s="24"/>
      <c r="C73" s="2"/>
      <c r="D73" s="28"/>
      <c r="E73" s="12"/>
      <c r="F73" s="24"/>
      <c r="G73" s="1"/>
      <c r="I73" s="1"/>
      <c r="J73" s="1"/>
    </row>
    <row r="74" spans="1:10" s="27" customFormat="1" ht="15.95" customHeight="1" x14ac:dyDescent="0.15">
      <c r="A74" s="2"/>
      <c r="B74" s="24"/>
      <c r="C74" s="2"/>
      <c r="E74" s="12"/>
      <c r="F74" s="1"/>
      <c r="G74" s="1"/>
      <c r="I74" s="1"/>
      <c r="J74" s="1"/>
    </row>
  </sheetData>
  <mergeCells count="14">
    <mergeCell ref="C20:E20"/>
    <mergeCell ref="A21:F21"/>
    <mergeCell ref="A36:F36"/>
    <mergeCell ref="H41:H43"/>
    <mergeCell ref="H67:H68"/>
    <mergeCell ref="C17:E17"/>
    <mergeCell ref="H17:H19"/>
    <mergeCell ref="C18:E18"/>
    <mergeCell ref="C19:E19"/>
    <mergeCell ref="A1:B1"/>
    <mergeCell ref="C1:D1"/>
    <mergeCell ref="A3:E3"/>
    <mergeCell ref="H6:H7"/>
    <mergeCell ref="C16:E16"/>
  </mergeCells>
  <phoneticPr fontId="3" type="noConversion"/>
  <printOptions horizontalCentered="1"/>
  <pageMargins left="0.19685039370078741" right="0.19685039370078741" top="0.55118110236220474" bottom="0.55118110236220474" header="0" footer="0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>
    <tabColor rgb="FF00B0F0"/>
    <pageSetUpPr fitToPage="1"/>
  </sheetPr>
  <dimension ref="A2:O33"/>
  <sheetViews>
    <sheetView workbookViewId="0">
      <selection activeCell="B19" sqref="B19"/>
    </sheetView>
  </sheetViews>
  <sheetFormatPr defaultColWidth="9.5" defaultRowHeight="11.25" x14ac:dyDescent="0.15"/>
  <cols>
    <col min="1" max="1" width="25" style="1" bestFit="1" customWidth="1"/>
    <col min="2" max="2" width="20.1640625" style="1" bestFit="1" customWidth="1"/>
    <col min="3" max="3" width="13.33203125" style="1" bestFit="1" customWidth="1"/>
    <col min="4" max="4" width="22.5" style="1" bestFit="1" customWidth="1"/>
    <col min="5" max="5" width="36.83203125" style="1" customWidth="1"/>
    <col min="6" max="6" width="14.5" style="1" bestFit="1" customWidth="1"/>
    <col min="7" max="11" width="9.5" style="1"/>
    <col min="12" max="12" width="12.83203125" style="27" customWidth="1"/>
    <col min="13" max="14" width="12.83203125" style="1" customWidth="1"/>
    <col min="15" max="16384" width="9.5" style="1"/>
  </cols>
  <sheetData>
    <row r="2" spans="1:15" ht="12" thickBot="1" x14ac:dyDescent="0.2">
      <c r="D2" s="2" t="s">
        <v>0</v>
      </c>
      <c r="E2" t="s">
        <v>2</v>
      </c>
      <c r="M2" s="1">
        <v>2023</v>
      </c>
      <c r="N2" s="24">
        <v>2024</v>
      </c>
      <c r="O2" s="24">
        <v>2025</v>
      </c>
    </row>
    <row r="3" spans="1:15" ht="12" thickBot="1" x14ac:dyDescent="0.2">
      <c r="A3" s="56" t="s">
        <v>158</v>
      </c>
      <c r="B3" s="55"/>
      <c r="C3" t="s">
        <v>1</v>
      </c>
      <c r="D3" s="20">
        <v>1.2</v>
      </c>
      <c r="E3" s="21">
        <v>1.3</v>
      </c>
      <c r="F3" s="1">
        <v>1.4</v>
      </c>
      <c r="G3" s="1">
        <v>1.1000000000000001</v>
      </c>
      <c r="J3" s="55" t="s">
        <v>53</v>
      </c>
      <c r="L3" s="162" t="s">
        <v>3</v>
      </c>
      <c r="M3" s="126">
        <v>330</v>
      </c>
      <c r="N3" s="126">
        <v>345</v>
      </c>
      <c r="O3" s="126">
        <v>360</v>
      </c>
    </row>
    <row r="4" spans="1:15" x14ac:dyDescent="0.15">
      <c r="A4" s="125" t="s">
        <v>3</v>
      </c>
      <c r="B4" s="126">
        <v>370</v>
      </c>
      <c r="C4" s="5">
        <f>B4/26</f>
        <v>14.23076923076923</v>
      </c>
      <c r="D4" s="22">
        <f>$C4*D$3</f>
        <v>17.076923076923077</v>
      </c>
      <c r="E4" s="22">
        <f t="shared" ref="E4:G4" si="0">$C4*E$3</f>
        <v>18.5</v>
      </c>
      <c r="F4" s="6">
        <f t="shared" si="0"/>
        <v>19.92307692307692</v>
      </c>
      <c r="G4" s="6">
        <f t="shared" si="0"/>
        <v>15.653846153846155</v>
      </c>
      <c r="J4" s="55">
        <v>14.5</v>
      </c>
      <c r="L4" s="163" t="s">
        <v>4</v>
      </c>
      <c r="M4" s="128">
        <v>385</v>
      </c>
      <c r="N4" s="128">
        <v>400</v>
      </c>
      <c r="O4" s="128">
        <v>415</v>
      </c>
    </row>
    <row r="5" spans="1:15" x14ac:dyDescent="0.15">
      <c r="A5" s="127" t="s">
        <v>4</v>
      </c>
      <c r="B5" s="128">
        <v>425</v>
      </c>
      <c r="C5" s="5">
        <f>B5/26</f>
        <v>16.346153846153847</v>
      </c>
      <c r="D5" s="22">
        <f t="shared" ref="D5:G8" si="1">$C5*D$3</f>
        <v>19.615384615384617</v>
      </c>
      <c r="E5" s="22">
        <f t="shared" si="1"/>
        <v>21.25</v>
      </c>
      <c r="F5" s="6">
        <f t="shared" si="1"/>
        <v>22.884615384615383</v>
      </c>
      <c r="G5" s="6">
        <f t="shared" si="1"/>
        <v>17.980769230769234</v>
      </c>
      <c r="J5" s="55">
        <v>17</v>
      </c>
      <c r="L5" s="163" t="s">
        <v>5</v>
      </c>
      <c r="M5" s="128">
        <v>430</v>
      </c>
      <c r="N5" s="128">
        <v>450</v>
      </c>
      <c r="O5" s="128">
        <v>470</v>
      </c>
    </row>
    <row r="6" spans="1:15" ht="12" thickBot="1" x14ac:dyDescent="0.2">
      <c r="A6" s="127" t="s">
        <v>5</v>
      </c>
      <c r="B6" s="128">
        <v>485</v>
      </c>
      <c r="C6" s="5">
        <f>B6/26</f>
        <v>18.653846153846153</v>
      </c>
      <c r="D6" s="22">
        <f t="shared" si="1"/>
        <v>22.384615384615383</v>
      </c>
      <c r="E6" s="22">
        <f t="shared" si="1"/>
        <v>24.25</v>
      </c>
      <c r="F6" s="6">
        <f t="shared" si="1"/>
        <v>26.115384615384613</v>
      </c>
      <c r="G6" s="6">
        <f t="shared" si="1"/>
        <v>20.51923076923077</v>
      </c>
      <c r="J6" s="55">
        <v>18.5</v>
      </c>
      <c r="L6" s="164" t="s">
        <v>6</v>
      </c>
      <c r="M6" s="130">
        <v>500</v>
      </c>
      <c r="N6" s="130">
        <v>520</v>
      </c>
      <c r="O6" s="130">
        <v>540</v>
      </c>
    </row>
    <row r="7" spans="1:15" ht="12" thickBot="1" x14ac:dyDescent="0.2">
      <c r="A7" s="129" t="s">
        <v>6</v>
      </c>
      <c r="B7" s="130">
        <v>555</v>
      </c>
      <c r="C7" s="11">
        <f>B7/26</f>
        <v>21.346153846153847</v>
      </c>
      <c r="D7" s="22">
        <f t="shared" si="1"/>
        <v>25.615384615384617</v>
      </c>
      <c r="E7" s="22">
        <f t="shared" si="1"/>
        <v>27.75</v>
      </c>
      <c r="F7" s="6">
        <f t="shared" si="1"/>
        <v>29.884615384615383</v>
      </c>
      <c r="G7" s="6">
        <f t="shared" si="1"/>
        <v>23.480769230769234</v>
      </c>
      <c r="J7" s="56">
        <v>22</v>
      </c>
      <c r="O7" s="191">
        <v>545</v>
      </c>
    </row>
    <row r="8" spans="1:15" x14ac:dyDescent="0.15">
      <c r="A8" s="195" t="s">
        <v>159</v>
      </c>
      <c r="B8" s="191">
        <v>550</v>
      </c>
      <c r="C8" s="192">
        <f>B8/26</f>
        <v>21.153846153846153</v>
      </c>
      <c r="D8" s="193">
        <f t="shared" si="1"/>
        <v>25.384615384615383</v>
      </c>
      <c r="E8" s="193">
        <f t="shared" si="1"/>
        <v>27.5</v>
      </c>
      <c r="F8" s="194">
        <f t="shared" si="1"/>
        <v>29.615384615384613</v>
      </c>
      <c r="G8" s="194">
        <f t="shared" si="1"/>
        <v>23.26923076923077</v>
      </c>
    </row>
    <row r="9" spans="1:15" x14ac:dyDescent="0.15">
      <c r="A9" s="26"/>
      <c r="I9" s="64"/>
    </row>
    <row r="10" spans="1:15" x14ac:dyDescent="0.15">
      <c r="A10" s="26"/>
      <c r="I10" s="64"/>
    </row>
    <row r="11" spans="1:15" ht="12" thickBot="1" x14ac:dyDescent="0.2">
      <c r="A11" s="191" t="s">
        <v>162</v>
      </c>
      <c r="B11" s="2" t="s">
        <v>7</v>
      </c>
      <c r="C11" s="1" t="s">
        <v>8</v>
      </c>
      <c r="E11" s="12" t="s">
        <v>9</v>
      </c>
      <c r="G11" s="24" t="s">
        <v>74</v>
      </c>
      <c r="H11" s="24" t="s">
        <v>66</v>
      </c>
      <c r="I11" s="63" t="s">
        <v>67</v>
      </c>
      <c r="K11" s="24"/>
    </row>
    <row r="12" spans="1:15" x14ac:dyDescent="0.15">
      <c r="A12" s="3" t="s">
        <v>33</v>
      </c>
      <c r="B12" s="13" t="s">
        <v>11</v>
      </c>
      <c r="C12" s="14" t="s">
        <v>19</v>
      </c>
      <c r="D12" s="4">
        <v>194.95</v>
      </c>
      <c r="E12" t="s">
        <v>169</v>
      </c>
      <c r="G12" s="1">
        <f>D12/4.5/26</f>
        <v>1.6662393162393163</v>
      </c>
      <c r="H12" s="1">
        <f>D12/26</f>
        <v>7.4980769230769226</v>
      </c>
      <c r="I12" s="63">
        <v>6.5</v>
      </c>
    </row>
    <row r="13" spans="1:15" x14ac:dyDescent="0.15">
      <c r="A13" s="9" t="s">
        <v>34</v>
      </c>
      <c r="B13" s="1" t="s">
        <v>11</v>
      </c>
      <c r="C13" t="s">
        <v>19</v>
      </c>
      <c r="D13" s="8">
        <v>194.95</v>
      </c>
      <c r="E13" t="s">
        <v>169</v>
      </c>
      <c r="G13" s="1">
        <f t="shared" ref="G13" si="2">D13/4.5/26</f>
        <v>1.6662393162393163</v>
      </c>
      <c r="H13" s="1">
        <f t="shared" ref="H13:H19" si="3">D13/26</f>
        <v>7.4980769230769226</v>
      </c>
      <c r="I13" s="63">
        <v>6.5</v>
      </c>
      <c r="L13" s="28"/>
    </row>
    <row r="14" spans="1:15" x14ac:dyDescent="0.15">
      <c r="A14" s="9" t="s">
        <v>35</v>
      </c>
      <c r="B14" s="1" t="s">
        <v>11</v>
      </c>
      <c r="C14" t="s">
        <v>12</v>
      </c>
      <c r="D14" s="8">
        <v>174.4</v>
      </c>
      <c r="E14" t="s">
        <v>170</v>
      </c>
      <c r="G14" s="1">
        <f>D14/4/26</f>
        <v>1.676923076923077</v>
      </c>
      <c r="H14" s="1">
        <f t="shared" si="3"/>
        <v>6.7076923076923078</v>
      </c>
      <c r="I14" s="63">
        <v>5.8</v>
      </c>
    </row>
    <row r="15" spans="1:15" x14ac:dyDescent="0.15">
      <c r="A15" s="196" t="s">
        <v>163</v>
      </c>
      <c r="C15" s="2" t="s">
        <v>12</v>
      </c>
      <c r="D15" s="8">
        <v>164.4</v>
      </c>
      <c r="E15" s="2"/>
      <c r="G15" s="1">
        <f>D15/4/26</f>
        <v>1.5807692307692309</v>
      </c>
      <c r="H15" s="1">
        <f t="shared" si="3"/>
        <v>6.3230769230769237</v>
      </c>
      <c r="I15" s="63">
        <v>5.8</v>
      </c>
      <c r="K15" s="24"/>
    </row>
    <row r="16" spans="1:15" x14ac:dyDescent="0.15">
      <c r="A16" s="7"/>
      <c r="C16" s="2" t="s">
        <v>38</v>
      </c>
      <c r="D16" s="8">
        <v>123.3</v>
      </c>
      <c r="E16" s="2"/>
      <c r="G16" s="1">
        <f>D16/3/26</f>
        <v>1.5807692307692309</v>
      </c>
      <c r="H16" s="1">
        <f t="shared" si="3"/>
        <v>4.7423076923076923</v>
      </c>
      <c r="I16" s="63">
        <v>4.5</v>
      </c>
      <c r="K16" s="24"/>
    </row>
    <row r="17" spans="1:12" x14ac:dyDescent="0.15">
      <c r="A17" s="7"/>
      <c r="C17" s="2" t="s">
        <v>58</v>
      </c>
      <c r="D17" s="8">
        <v>82.2</v>
      </c>
      <c r="E17" s="2"/>
      <c r="G17" s="1">
        <f>D17/2/26</f>
        <v>1.5807692307692309</v>
      </c>
      <c r="H17" s="24">
        <f t="shared" si="3"/>
        <v>3.1615384615384619</v>
      </c>
      <c r="I17" s="63">
        <v>3</v>
      </c>
      <c r="K17" s="24"/>
    </row>
    <row r="18" spans="1:12" x14ac:dyDescent="0.15">
      <c r="A18" s="7"/>
      <c r="C18" s="2"/>
      <c r="D18" s="8"/>
      <c r="E18" s="2"/>
      <c r="H18" s="24"/>
      <c r="I18" s="63"/>
      <c r="K18" s="24"/>
    </row>
    <row r="19" spans="1:12" ht="12" thickBot="1" x14ac:dyDescent="0.2">
      <c r="A19" s="25" t="s">
        <v>164</v>
      </c>
      <c r="B19" s="15">
        <f>D15/26/4</f>
        <v>1.5807692307692309</v>
      </c>
      <c r="C19" s="16"/>
      <c r="D19" s="10">
        <v>1.6</v>
      </c>
      <c r="E19" s="2"/>
      <c r="H19" s="1">
        <f t="shared" si="3"/>
        <v>6.1538461538461542E-2</v>
      </c>
      <c r="I19" s="63">
        <v>4.5999999999999996</v>
      </c>
    </row>
    <row r="20" spans="1:12" x14ac:dyDescent="0.15">
      <c r="I20" s="64"/>
    </row>
    <row r="21" spans="1:12" x14ac:dyDescent="0.15">
      <c r="A21" s="1" t="s">
        <v>47</v>
      </c>
      <c r="B21" s="24" t="s">
        <v>48</v>
      </c>
      <c r="I21" s="64"/>
    </row>
    <row r="22" spans="1:12" x14ac:dyDescent="0.15">
      <c r="B22" s="24" t="s">
        <v>49</v>
      </c>
      <c r="I22" s="64"/>
    </row>
    <row r="23" spans="1:12" x14ac:dyDescent="0.15">
      <c r="B23" s="24" t="s">
        <v>50</v>
      </c>
      <c r="C23" s="24" t="s">
        <v>51</v>
      </c>
      <c r="D23" s="1" t="s">
        <v>52</v>
      </c>
      <c r="I23" s="64"/>
    </row>
    <row r="24" spans="1:12" x14ac:dyDescent="0.15">
      <c r="I24" s="64"/>
    </row>
    <row r="25" spans="1:12" x14ac:dyDescent="0.15">
      <c r="I25" s="64"/>
    </row>
    <row r="26" spans="1:12" ht="12" thickBot="1" x14ac:dyDescent="0.2">
      <c r="A26" s="24" t="s">
        <v>161</v>
      </c>
      <c r="B26" s="2" t="s">
        <v>7</v>
      </c>
      <c r="C26" s="1" t="s">
        <v>8</v>
      </c>
      <c r="E26" s="12" t="s">
        <v>9</v>
      </c>
      <c r="G26" s="24" t="s">
        <v>74</v>
      </c>
      <c r="H26" s="24" t="s">
        <v>65</v>
      </c>
      <c r="I26" s="63" t="s">
        <v>67</v>
      </c>
      <c r="K26" s="24"/>
    </row>
    <row r="27" spans="1:12" x14ac:dyDescent="0.15">
      <c r="A27" s="3" t="s">
        <v>33</v>
      </c>
      <c r="B27" s="13" t="s">
        <v>11</v>
      </c>
      <c r="C27" s="14" t="s">
        <v>19</v>
      </c>
      <c r="D27" s="4">
        <v>185.6</v>
      </c>
      <c r="E27" t="s">
        <v>72</v>
      </c>
      <c r="G27" s="1">
        <f>D27/4.5/26</f>
        <v>1.5863247863247862</v>
      </c>
      <c r="H27" s="1">
        <f>D27/26</f>
        <v>7.138461538461538</v>
      </c>
      <c r="I27" s="63">
        <v>6.5</v>
      </c>
    </row>
    <row r="28" spans="1:12" x14ac:dyDescent="0.15">
      <c r="A28" s="9" t="s">
        <v>34</v>
      </c>
      <c r="B28" s="1" t="s">
        <v>11</v>
      </c>
      <c r="C28" t="s">
        <v>19</v>
      </c>
      <c r="D28" s="8">
        <v>185.6</v>
      </c>
      <c r="E28" t="s">
        <v>72</v>
      </c>
      <c r="G28" s="1">
        <f t="shared" ref="G28" si="4">D28/4.5/26</f>
        <v>1.5863247863247862</v>
      </c>
      <c r="H28" s="1">
        <f t="shared" ref="H28:H33" si="5">D28/26</f>
        <v>7.138461538461538</v>
      </c>
      <c r="I28" s="63">
        <v>6.5</v>
      </c>
      <c r="L28" s="28"/>
    </row>
    <row r="29" spans="1:12" x14ac:dyDescent="0.15">
      <c r="A29" s="9" t="s">
        <v>35</v>
      </c>
      <c r="B29" s="1" t="s">
        <v>11</v>
      </c>
      <c r="C29" t="s">
        <v>12</v>
      </c>
      <c r="D29" s="8">
        <v>155</v>
      </c>
      <c r="E29" t="s">
        <v>73</v>
      </c>
      <c r="G29" s="1">
        <f>D29/4/26</f>
        <v>1.4903846153846154</v>
      </c>
      <c r="H29" s="1">
        <f t="shared" si="5"/>
        <v>5.9615384615384617</v>
      </c>
      <c r="I29" s="63">
        <v>5.8</v>
      </c>
    </row>
    <row r="30" spans="1:12" x14ac:dyDescent="0.15">
      <c r="A30" s="7" t="s">
        <v>71</v>
      </c>
      <c r="C30" s="2" t="s">
        <v>12</v>
      </c>
      <c r="D30" s="8">
        <v>155</v>
      </c>
      <c r="E30" s="2"/>
      <c r="G30" s="1">
        <f>D30/4/26</f>
        <v>1.4903846153846154</v>
      </c>
      <c r="H30" s="1">
        <f t="shared" si="5"/>
        <v>5.9615384615384617</v>
      </c>
      <c r="I30" s="63">
        <v>5.8</v>
      </c>
      <c r="K30" s="24"/>
    </row>
    <row r="31" spans="1:12" x14ac:dyDescent="0.15">
      <c r="A31" s="7"/>
      <c r="C31" s="2" t="s">
        <v>38</v>
      </c>
      <c r="D31" s="8">
        <v>116.3</v>
      </c>
      <c r="E31" s="2"/>
      <c r="G31" s="1">
        <f>D31/3/26</f>
        <v>1.4910256410256411</v>
      </c>
      <c r="H31" s="1">
        <f t="shared" si="5"/>
        <v>4.4730769230769232</v>
      </c>
      <c r="I31" s="63">
        <v>4.5</v>
      </c>
      <c r="K31" s="24"/>
    </row>
    <row r="32" spans="1:12" x14ac:dyDescent="0.15">
      <c r="A32" s="7"/>
      <c r="C32" s="2" t="s">
        <v>58</v>
      </c>
      <c r="D32" s="8">
        <f>2*37.5</f>
        <v>75</v>
      </c>
      <c r="E32" s="2"/>
      <c r="G32" s="1">
        <f>D32/2/26</f>
        <v>1.4423076923076923</v>
      </c>
      <c r="H32" s="24">
        <f t="shared" si="5"/>
        <v>2.8846153846153846</v>
      </c>
      <c r="I32" s="63">
        <v>3</v>
      </c>
      <c r="K32" s="24"/>
    </row>
    <row r="33" spans="1:9" ht="12" thickBot="1" x14ac:dyDescent="0.2">
      <c r="A33" s="25"/>
      <c r="B33" s="15"/>
      <c r="C33" s="16"/>
      <c r="D33" s="10"/>
      <c r="E33" s="2"/>
      <c r="H33" s="1">
        <f t="shared" si="5"/>
        <v>0</v>
      </c>
      <c r="I33" s="63">
        <v>4.5999999999999996</v>
      </c>
    </row>
  </sheetData>
  <phoneticPr fontId="3" type="noConversion"/>
  <pageMargins left="0.19685039370078741" right="0.19685039370078741" top="0.55118110236220474" bottom="0.55118110236220474" header="0" footer="0"/>
  <pageSetup paperSize="9" scale="95" orientation="portrait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646CC-0D7B-4AC0-8474-E63F2117E9D2}">
  <dimension ref="A1:J73"/>
  <sheetViews>
    <sheetView topLeftCell="A10" workbookViewId="0">
      <selection activeCell="G24" sqref="G24"/>
    </sheetView>
  </sheetViews>
  <sheetFormatPr defaultRowHeight="16.5" x14ac:dyDescent="0.15"/>
  <cols>
    <col min="1" max="1" width="8.1640625" style="205" customWidth="1"/>
    <col min="2" max="2" width="18.33203125" style="207" customWidth="1"/>
    <col min="3" max="3" width="24" style="207" customWidth="1"/>
    <col min="4" max="4" width="21.33203125" style="205" customWidth="1"/>
    <col min="5" max="5" width="19.6640625" style="205" bestFit="1" customWidth="1"/>
    <col min="6" max="6" width="19.1640625" style="208" customWidth="1"/>
    <col min="7" max="7" width="27.33203125" style="209" bestFit="1" customWidth="1"/>
    <col min="8" max="8" width="6.6640625" style="207" customWidth="1"/>
    <col min="9" max="9" width="22" style="207" customWidth="1"/>
    <col min="10" max="10" width="23.6640625" style="207" bestFit="1" customWidth="1"/>
    <col min="11" max="16384" width="9.33203125" style="207"/>
  </cols>
  <sheetData>
    <row r="1" spans="1:9" ht="18.75" x14ac:dyDescent="0.15">
      <c r="B1" s="206" t="s">
        <v>204</v>
      </c>
    </row>
    <row r="2" spans="1:9" ht="12.75" customHeight="1" x14ac:dyDescent="0.15">
      <c r="F2" s="210" t="s">
        <v>205</v>
      </c>
    </row>
    <row r="3" spans="1:9" s="215" customFormat="1" ht="13.5" customHeight="1" x14ac:dyDescent="0.15">
      <c r="A3" s="211" t="s">
        <v>206</v>
      </c>
      <c r="B3" s="212" t="s">
        <v>207</v>
      </c>
      <c r="C3" s="213" t="s">
        <v>208</v>
      </c>
      <c r="D3" s="213" t="s">
        <v>209</v>
      </c>
      <c r="E3" s="213" t="s">
        <v>210</v>
      </c>
      <c r="F3" s="214" t="s">
        <v>211</v>
      </c>
      <c r="G3" s="340" t="s">
        <v>212</v>
      </c>
      <c r="H3" s="340"/>
    </row>
    <row r="4" spans="1:9" s="222" customFormat="1" ht="12.75" customHeight="1" x14ac:dyDescent="0.15">
      <c r="A4" s="216">
        <v>1</v>
      </c>
      <c r="B4" s="217" t="s">
        <v>213</v>
      </c>
      <c r="C4" s="218" t="s">
        <v>139</v>
      </c>
      <c r="D4" s="219">
        <v>1</v>
      </c>
      <c r="E4" s="220">
        <v>100000</v>
      </c>
      <c r="F4" s="221">
        <v>3700000</v>
      </c>
      <c r="G4" s="339" t="s">
        <v>214</v>
      </c>
      <c r="H4" s="341"/>
    </row>
    <row r="5" spans="1:9" s="222" customFormat="1" ht="12.75" customHeight="1" x14ac:dyDescent="0.15">
      <c r="A5" s="223">
        <v>2</v>
      </c>
      <c r="B5" s="224" t="s">
        <v>213</v>
      </c>
      <c r="C5" s="225" t="s">
        <v>215</v>
      </c>
      <c r="D5" s="226">
        <v>1</v>
      </c>
      <c r="E5" s="227">
        <v>100000</v>
      </c>
      <c r="F5" s="228">
        <v>3700000</v>
      </c>
      <c r="G5" s="339" t="s">
        <v>216</v>
      </c>
      <c r="H5" s="341"/>
    </row>
    <row r="6" spans="1:9" s="222" customFormat="1" ht="12.75" customHeight="1" x14ac:dyDescent="0.15">
      <c r="A6" s="229">
        <v>3</v>
      </c>
      <c r="B6" s="224" t="s">
        <v>213</v>
      </c>
      <c r="C6" s="225" t="s">
        <v>217</v>
      </c>
      <c r="D6" s="226">
        <v>3.5</v>
      </c>
      <c r="E6" s="230">
        <v>150000</v>
      </c>
      <c r="F6" s="228">
        <v>4850000</v>
      </c>
      <c r="G6" s="339" t="s">
        <v>218</v>
      </c>
      <c r="H6" s="341"/>
    </row>
    <row r="7" spans="1:9" s="222" customFormat="1" ht="12.75" customHeight="1" x14ac:dyDescent="0.15">
      <c r="A7" s="223">
        <v>4</v>
      </c>
      <c r="B7" s="224" t="s">
        <v>213</v>
      </c>
      <c r="C7" s="225" t="s">
        <v>219</v>
      </c>
      <c r="D7" s="226">
        <v>3.5</v>
      </c>
      <c r="E7" s="230">
        <v>150000</v>
      </c>
      <c r="F7" s="228">
        <v>4850000</v>
      </c>
      <c r="G7" s="339" t="s">
        <v>220</v>
      </c>
      <c r="H7" s="341"/>
    </row>
    <row r="8" spans="1:9" s="222" customFormat="1" ht="12.75" customHeight="1" x14ac:dyDescent="0.15">
      <c r="A8" s="229">
        <v>5</v>
      </c>
      <c r="B8" s="224" t="s">
        <v>221</v>
      </c>
      <c r="C8" s="225" t="s">
        <v>222</v>
      </c>
      <c r="D8" s="226">
        <v>2.5</v>
      </c>
      <c r="E8" s="227">
        <v>100000</v>
      </c>
      <c r="F8" s="231">
        <v>4250000</v>
      </c>
      <c r="G8" s="338" t="s">
        <v>223</v>
      </c>
      <c r="H8" s="339"/>
    </row>
    <row r="9" spans="1:9" s="222" customFormat="1" ht="12.75" customHeight="1" x14ac:dyDescent="0.15">
      <c r="A9" s="223">
        <v>6</v>
      </c>
      <c r="B9" s="224" t="s">
        <v>224</v>
      </c>
      <c r="C9" s="225" t="s">
        <v>225</v>
      </c>
      <c r="D9" s="226">
        <v>3.5</v>
      </c>
      <c r="E9" s="230">
        <v>150000</v>
      </c>
      <c r="F9" s="228">
        <v>4850000</v>
      </c>
      <c r="G9" s="342" t="s">
        <v>226</v>
      </c>
      <c r="H9" s="343"/>
    </row>
    <row r="10" spans="1:9" s="222" customFormat="1" ht="12.75" customHeight="1" x14ac:dyDescent="0.15">
      <c r="A10" s="229">
        <v>7</v>
      </c>
      <c r="B10" s="224" t="s">
        <v>227</v>
      </c>
      <c r="C10" s="225" t="s">
        <v>228</v>
      </c>
      <c r="D10" s="226">
        <v>3.5</v>
      </c>
      <c r="E10" s="227">
        <v>150000</v>
      </c>
      <c r="F10" s="231">
        <v>4850000</v>
      </c>
      <c r="G10" s="339"/>
      <c r="H10" s="341"/>
      <c r="I10" s="232"/>
    </row>
    <row r="11" spans="1:9" s="222" customFormat="1" ht="12.75" customHeight="1" x14ac:dyDescent="0.15">
      <c r="A11" s="223">
        <v>8</v>
      </c>
      <c r="B11" s="224" t="s">
        <v>229</v>
      </c>
      <c r="C11" s="225" t="s">
        <v>230</v>
      </c>
      <c r="D11" s="226">
        <v>2.5</v>
      </c>
      <c r="E11" s="227">
        <v>100000</v>
      </c>
      <c r="F11" s="231">
        <v>4250000</v>
      </c>
      <c r="G11" s="344" t="s">
        <v>231</v>
      </c>
      <c r="H11" s="345"/>
      <c r="I11" s="233"/>
    </row>
    <row r="12" spans="1:9" s="222" customFormat="1" ht="12.75" customHeight="1" x14ac:dyDescent="0.15">
      <c r="A12" s="229">
        <v>9</v>
      </c>
      <c r="B12" s="224" t="s">
        <v>232</v>
      </c>
      <c r="C12" s="225" t="s">
        <v>233</v>
      </c>
      <c r="D12" s="226">
        <v>5</v>
      </c>
      <c r="E12" s="230">
        <v>150000</v>
      </c>
      <c r="F12" s="228">
        <v>5450000</v>
      </c>
      <c r="G12" s="339" t="s">
        <v>234</v>
      </c>
      <c r="H12" s="341"/>
      <c r="I12" s="233"/>
    </row>
    <row r="13" spans="1:9" s="222" customFormat="1" ht="12.75" customHeight="1" x14ac:dyDescent="0.15">
      <c r="A13" s="223">
        <v>10</v>
      </c>
      <c r="B13" s="224" t="s">
        <v>235</v>
      </c>
      <c r="C13" s="225" t="s">
        <v>236</v>
      </c>
      <c r="D13" s="226" t="s">
        <v>237</v>
      </c>
      <c r="E13" s="227">
        <v>150000</v>
      </c>
      <c r="F13" s="231">
        <v>5500000</v>
      </c>
      <c r="G13" s="339" t="s">
        <v>238</v>
      </c>
      <c r="H13" s="341"/>
      <c r="I13" s="233"/>
    </row>
    <row r="14" spans="1:9" s="222" customFormat="1" ht="12.75" customHeight="1" x14ac:dyDescent="0.15">
      <c r="A14" s="229">
        <v>11</v>
      </c>
      <c r="B14" s="224" t="s">
        <v>239</v>
      </c>
      <c r="C14" s="225" t="s">
        <v>240</v>
      </c>
      <c r="D14" s="226">
        <v>2.5</v>
      </c>
      <c r="E14" s="230">
        <v>100000</v>
      </c>
      <c r="F14" s="228">
        <v>4250000</v>
      </c>
      <c r="G14" s="339" t="s">
        <v>241</v>
      </c>
      <c r="H14" s="341"/>
      <c r="I14" s="233"/>
    </row>
    <row r="15" spans="1:9" s="222" customFormat="1" ht="12.75" customHeight="1" x14ac:dyDescent="0.15">
      <c r="A15" s="223">
        <v>12</v>
      </c>
      <c r="B15" s="224" t="s">
        <v>239</v>
      </c>
      <c r="C15" s="225" t="s">
        <v>242</v>
      </c>
      <c r="D15" s="226">
        <v>3.5</v>
      </c>
      <c r="E15" s="227">
        <v>150000</v>
      </c>
      <c r="F15" s="231">
        <v>4850000</v>
      </c>
      <c r="G15" s="339" t="s">
        <v>243</v>
      </c>
      <c r="H15" s="341"/>
      <c r="I15" s="233"/>
    </row>
    <row r="16" spans="1:9" s="222" customFormat="1" ht="12.75" customHeight="1" x14ac:dyDescent="0.15">
      <c r="A16" s="229">
        <v>13</v>
      </c>
      <c r="B16" s="224" t="s">
        <v>239</v>
      </c>
      <c r="C16" s="225" t="s">
        <v>244</v>
      </c>
      <c r="D16" s="226">
        <v>1</v>
      </c>
      <c r="E16" s="227">
        <v>100000</v>
      </c>
      <c r="F16" s="231">
        <v>3700000</v>
      </c>
      <c r="G16" s="339" t="s">
        <v>245</v>
      </c>
      <c r="H16" s="341"/>
    </row>
    <row r="17" spans="1:8" s="222" customFormat="1" ht="12.75" customHeight="1" x14ac:dyDescent="0.15">
      <c r="A17" s="223">
        <v>14</v>
      </c>
      <c r="B17" s="224" t="s">
        <v>239</v>
      </c>
      <c r="C17" s="225" t="s">
        <v>246</v>
      </c>
      <c r="D17" s="226">
        <v>1</v>
      </c>
      <c r="E17" s="230">
        <v>100000</v>
      </c>
      <c r="F17" s="228">
        <v>3700000</v>
      </c>
      <c r="G17" s="234" t="s">
        <v>247</v>
      </c>
      <c r="H17" s="235" t="s">
        <v>248</v>
      </c>
    </row>
    <row r="18" spans="1:8" s="222" customFormat="1" ht="12.75" customHeight="1" x14ac:dyDescent="0.15">
      <c r="A18" s="229">
        <v>15</v>
      </c>
      <c r="B18" s="224" t="s">
        <v>249</v>
      </c>
      <c r="C18" s="225" t="s">
        <v>250</v>
      </c>
      <c r="D18" s="226">
        <v>1</v>
      </c>
      <c r="E18" s="230">
        <v>100000</v>
      </c>
      <c r="F18" s="228">
        <v>3700000</v>
      </c>
      <c r="G18" s="236" t="s">
        <v>251</v>
      </c>
      <c r="H18" s="237">
        <v>15</v>
      </c>
    </row>
    <row r="19" spans="1:8" s="222" customFormat="1" ht="12.75" customHeight="1" x14ac:dyDescent="0.15">
      <c r="A19" s="223">
        <v>16</v>
      </c>
      <c r="B19" s="224" t="s">
        <v>249</v>
      </c>
      <c r="C19" s="225" t="s">
        <v>252</v>
      </c>
      <c r="D19" s="226">
        <v>1</v>
      </c>
      <c r="E19" s="227">
        <v>100000</v>
      </c>
      <c r="F19" s="231">
        <v>3700000</v>
      </c>
      <c r="G19" s="236" t="s">
        <v>253</v>
      </c>
      <c r="H19" s="237">
        <v>3</v>
      </c>
    </row>
    <row r="20" spans="1:8" s="222" customFormat="1" ht="12.75" customHeight="1" x14ac:dyDescent="0.15">
      <c r="A20" s="229">
        <v>17</v>
      </c>
      <c r="B20" s="224" t="s">
        <v>249</v>
      </c>
      <c r="C20" s="225" t="s">
        <v>64</v>
      </c>
      <c r="D20" s="226">
        <v>3.5</v>
      </c>
      <c r="E20" s="227">
        <v>150000</v>
      </c>
      <c r="F20" s="231">
        <v>4850000</v>
      </c>
      <c r="G20" s="236" t="s">
        <v>254</v>
      </c>
      <c r="H20" s="237">
        <v>13</v>
      </c>
    </row>
    <row r="21" spans="1:8" s="222" customFormat="1" ht="12.75" customHeight="1" x14ac:dyDescent="0.15">
      <c r="A21" s="223">
        <v>18</v>
      </c>
      <c r="B21" s="224" t="s">
        <v>255</v>
      </c>
      <c r="C21" s="225" t="s">
        <v>256</v>
      </c>
      <c r="D21" s="226">
        <v>1</v>
      </c>
      <c r="E21" s="227">
        <v>100000</v>
      </c>
      <c r="F21" s="231">
        <v>3700000</v>
      </c>
      <c r="G21" s="238" t="s">
        <v>257</v>
      </c>
      <c r="H21" s="237">
        <v>2</v>
      </c>
    </row>
    <row r="22" spans="1:8" s="222" customFormat="1" ht="12.75" customHeight="1" x14ac:dyDescent="0.15">
      <c r="A22" s="229">
        <v>19</v>
      </c>
      <c r="B22" s="224" t="s">
        <v>255</v>
      </c>
      <c r="C22" s="225" t="s">
        <v>258</v>
      </c>
      <c r="D22" s="226">
        <v>1</v>
      </c>
      <c r="E22" s="230">
        <v>100000</v>
      </c>
      <c r="F22" s="228">
        <v>3700000</v>
      </c>
      <c r="G22" s="239"/>
    </row>
    <row r="23" spans="1:8" s="222" customFormat="1" ht="12.75" customHeight="1" x14ac:dyDescent="0.15">
      <c r="A23" s="223">
        <v>20</v>
      </c>
      <c r="B23" s="224" t="s">
        <v>255</v>
      </c>
      <c r="C23" s="225" t="s">
        <v>259</v>
      </c>
      <c r="D23" s="226">
        <v>3.5</v>
      </c>
      <c r="E23" s="227">
        <v>150000</v>
      </c>
      <c r="F23" s="231">
        <v>4850000</v>
      </c>
      <c r="G23" s="239" t="s">
        <v>345</v>
      </c>
    </row>
    <row r="24" spans="1:8" s="222" customFormat="1" ht="12.75" customHeight="1" x14ac:dyDescent="0.15">
      <c r="A24" s="229">
        <v>21</v>
      </c>
      <c r="B24" s="224" t="s">
        <v>260</v>
      </c>
      <c r="C24" s="225" t="s">
        <v>144</v>
      </c>
      <c r="D24" s="226">
        <v>1</v>
      </c>
      <c r="E24" s="230">
        <v>100000</v>
      </c>
      <c r="F24" s="228">
        <v>3700000</v>
      </c>
      <c r="G24" s="239"/>
    </row>
    <row r="25" spans="1:8" s="222" customFormat="1" ht="12.75" customHeight="1" x14ac:dyDescent="0.15">
      <c r="A25" s="223">
        <v>22</v>
      </c>
      <c r="B25" s="224" t="s">
        <v>261</v>
      </c>
      <c r="C25" s="225" t="s">
        <v>134</v>
      </c>
      <c r="D25" s="226">
        <v>1</v>
      </c>
      <c r="E25" s="227">
        <v>100000</v>
      </c>
      <c r="F25" s="231">
        <v>3700000</v>
      </c>
      <c r="G25" s="239"/>
    </row>
    <row r="26" spans="1:8" s="222" customFormat="1" ht="12.75" customHeight="1" x14ac:dyDescent="0.15">
      <c r="A26" s="229">
        <v>23</v>
      </c>
      <c r="B26" s="224" t="s">
        <v>262</v>
      </c>
      <c r="C26" s="225" t="s">
        <v>142</v>
      </c>
      <c r="D26" s="226">
        <v>1</v>
      </c>
      <c r="E26" s="230">
        <v>100000</v>
      </c>
      <c r="F26" s="228">
        <v>3700000</v>
      </c>
      <c r="G26" s="239"/>
    </row>
    <row r="27" spans="1:8" s="222" customFormat="1" ht="12.75" customHeight="1" x14ac:dyDescent="0.15">
      <c r="A27" s="223">
        <v>24</v>
      </c>
      <c r="B27" s="224" t="s">
        <v>263</v>
      </c>
      <c r="C27" s="225" t="s">
        <v>145</v>
      </c>
      <c r="D27" s="226">
        <v>1</v>
      </c>
      <c r="E27" s="230">
        <v>100000</v>
      </c>
      <c r="F27" s="228">
        <v>3700000</v>
      </c>
      <c r="G27" s="239"/>
    </row>
    <row r="28" spans="1:8" s="222" customFormat="1" ht="12.75" customHeight="1" x14ac:dyDescent="0.15">
      <c r="A28" s="229">
        <v>25</v>
      </c>
      <c r="B28" s="224" t="s">
        <v>264</v>
      </c>
      <c r="C28" s="225" t="s">
        <v>265</v>
      </c>
      <c r="D28" s="226">
        <v>1</v>
      </c>
      <c r="E28" s="230">
        <v>100000</v>
      </c>
      <c r="F28" s="228">
        <v>3700000</v>
      </c>
      <c r="G28" s="240"/>
    </row>
    <row r="29" spans="1:8" s="222" customFormat="1" ht="12.75" customHeight="1" x14ac:dyDescent="0.15">
      <c r="A29" s="223">
        <v>26</v>
      </c>
      <c r="B29" s="224" t="s">
        <v>264</v>
      </c>
      <c r="C29" s="225" t="s">
        <v>266</v>
      </c>
      <c r="D29" s="226">
        <v>1</v>
      </c>
      <c r="E29" s="230">
        <v>100000</v>
      </c>
      <c r="F29" s="228">
        <v>3700000</v>
      </c>
      <c r="G29" s="240"/>
    </row>
    <row r="30" spans="1:8" s="222" customFormat="1" ht="12.75" customHeight="1" x14ac:dyDescent="0.15">
      <c r="A30" s="229">
        <v>27</v>
      </c>
      <c r="B30" s="224" t="s">
        <v>264</v>
      </c>
      <c r="C30" s="225" t="s">
        <v>267</v>
      </c>
      <c r="D30" s="226">
        <v>3.5</v>
      </c>
      <c r="E30" s="230">
        <v>150000</v>
      </c>
      <c r="F30" s="228">
        <v>4850000</v>
      </c>
      <c r="G30" s="240"/>
    </row>
    <row r="31" spans="1:8" s="222" customFormat="1" ht="12.75" customHeight="1" x14ac:dyDescent="0.15">
      <c r="A31" s="223">
        <v>28</v>
      </c>
      <c r="B31" s="224" t="s">
        <v>268</v>
      </c>
      <c r="C31" s="225" t="s">
        <v>269</v>
      </c>
      <c r="D31" s="226">
        <v>3.5</v>
      </c>
      <c r="E31" s="227">
        <v>150000</v>
      </c>
      <c r="F31" s="231">
        <v>4850000</v>
      </c>
      <c r="G31" s="240"/>
    </row>
    <row r="32" spans="1:8" s="222" customFormat="1" ht="12.75" customHeight="1" x14ac:dyDescent="0.15">
      <c r="A32" s="229">
        <v>29</v>
      </c>
      <c r="B32" s="224" t="s">
        <v>268</v>
      </c>
      <c r="C32" s="225" t="s">
        <v>270</v>
      </c>
      <c r="D32" s="226">
        <v>3.5</v>
      </c>
      <c r="E32" s="230">
        <v>150000</v>
      </c>
      <c r="F32" s="228">
        <v>4850000</v>
      </c>
      <c r="G32" s="240"/>
    </row>
    <row r="33" spans="1:8" s="222" customFormat="1" ht="12.75" customHeight="1" x14ac:dyDescent="0.15">
      <c r="A33" s="229">
        <v>30</v>
      </c>
      <c r="B33" s="224" t="s">
        <v>271</v>
      </c>
      <c r="C33" s="225" t="s">
        <v>272</v>
      </c>
      <c r="D33" s="226">
        <v>3.5</v>
      </c>
      <c r="E33" s="230">
        <v>150000</v>
      </c>
      <c r="F33" s="228">
        <v>4850000</v>
      </c>
      <c r="G33" s="240"/>
    </row>
    <row r="34" spans="1:8" s="222" customFormat="1" ht="12.75" customHeight="1" x14ac:dyDescent="0.15">
      <c r="A34" s="229">
        <v>31</v>
      </c>
      <c r="B34" s="224" t="s">
        <v>271</v>
      </c>
      <c r="C34" s="225" t="s">
        <v>273</v>
      </c>
      <c r="D34" s="226">
        <v>3.5</v>
      </c>
      <c r="E34" s="230">
        <v>150000</v>
      </c>
      <c r="F34" s="228">
        <v>4850000</v>
      </c>
      <c r="G34" s="240"/>
    </row>
    <row r="35" spans="1:8" s="222" customFormat="1" ht="12.75" customHeight="1" x14ac:dyDescent="0.15">
      <c r="A35" s="223">
        <v>32</v>
      </c>
      <c r="B35" s="224" t="s">
        <v>271</v>
      </c>
      <c r="C35" s="225" t="s">
        <v>274</v>
      </c>
      <c r="D35" s="226">
        <v>3.5</v>
      </c>
      <c r="E35" s="227">
        <v>150000</v>
      </c>
      <c r="F35" s="231">
        <v>4850000</v>
      </c>
      <c r="G35" s="240"/>
    </row>
    <row r="36" spans="1:8" s="222" customFormat="1" ht="12.75" customHeight="1" x14ac:dyDescent="0.15">
      <c r="A36" s="241">
        <v>33</v>
      </c>
      <c r="B36" s="242" t="s">
        <v>275</v>
      </c>
      <c r="C36" s="243" t="s">
        <v>276</v>
      </c>
      <c r="D36" s="244">
        <v>2.5</v>
      </c>
      <c r="E36" s="245">
        <v>100000</v>
      </c>
      <c r="F36" s="246">
        <v>4250000</v>
      </c>
      <c r="G36" s="240"/>
    </row>
    <row r="37" spans="1:8" s="222" customFormat="1" ht="12.75" customHeight="1" x14ac:dyDescent="0.15">
      <c r="A37" s="205"/>
      <c r="B37" s="207"/>
      <c r="C37" s="207"/>
      <c r="D37" s="247" t="s">
        <v>277</v>
      </c>
      <c r="E37" s="248">
        <f>SUM(E4:E36)</f>
        <v>4050000</v>
      </c>
      <c r="F37" s="249">
        <f>SUM(F4:F36)</f>
        <v>142800000</v>
      </c>
      <c r="G37" s="240"/>
    </row>
    <row r="38" spans="1:8" s="222" customFormat="1" ht="15" customHeight="1" x14ac:dyDescent="0.15">
      <c r="A38" s="205"/>
      <c r="B38" s="250"/>
      <c r="C38" s="251"/>
      <c r="D38" s="252"/>
      <c r="E38" s="253"/>
      <c r="F38" s="254"/>
      <c r="G38" s="240"/>
    </row>
    <row r="39" spans="1:8" ht="15" customHeight="1" x14ac:dyDescent="0.15">
      <c r="A39" s="255"/>
      <c r="B39" s="256" t="s">
        <v>278</v>
      </c>
      <c r="C39" s="256"/>
      <c r="D39" s="257"/>
      <c r="E39" s="257"/>
      <c r="F39" s="258"/>
      <c r="G39" s="240"/>
      <c r="H39" s="222"/>
    </row>
    <row r="40" spans="1:8" ht="15" customHeight="1" x14ac:dyDescent="0.15">
      <c r="A40" s="255"/>
      <c r="B40" s="259" t="s">
        <v>279</v>
      </c>
      <c r="C40" s="260" t="s">
        <v>280</v>
      </c>
      <c r="D40" s="260" t="s">
        <v>210</v>
      </c>
      <c r="E40" s="261" t="s">
        <v>281</v>
      </c>
      <c r="F40" s="262" t="s">
        <v>282</v>
      </c>
    </row>
    <row r="41" spans="1:8" ht="15" customHeight="1" x14ac:dyDescent="0.15">
      <c r="A41" s="255"/>
      <c r="B41" s="263" t="s">
        <v>283</v>
      </c>
      <c r="C41" s="264" t="s">
        <v>284</v>
      </c>
      <c r="D41" s="265">
        <v>0</v>
      </c>
      <c r="E41" s="266">
        <v>400000</v>
      </c>
      <c r="F41" s="267"/>
      <c r="G41" s="209" t="s">
        <v>285</v>
      </c>
    </row>
    <row r="42" spans="1:8" ht="15" customHeight="1" x14ac:dyDescent="0.15">
      <c r="A42" s="255"/>
      <c r="B42" s="268" t="s">
        <v>252</v>
      </c>
      <c r="C42" s="269" t="s">
        <v>286</v>
      </c>
      <c r="D42" s="269">
        <v>0</v>
      </c>
      <c r="E42" s="270">
        <v>0</v>
      </c>
      <c r="F42" s="271">
        <v>60000</v>
      </c>
      <c r="G42" s="209" t="s">
        <v>287</v>
      </c>
    </row>
    <row r="43" spans="1:8" ht="15" customHeight="1" x14ac:dyDescent="0.15">
      <c r="A43" s="255"/>
      <c r="B43" s="268" t="s">
        <v>139</v>
      </c>
      <c r="C43" s="269" t="s">
        <v>288</v>
      </c>
      <c r="D43" s="269">
        <v>0</v>
      </c>
      <c r="E43" s="270">
        <v>1200000</v>
      </c>
      <c r="F43" s="271"/>
      <c r="G43" s="209" t="s">
        <v>285</v>
      </c>
    </row>
    <row r="44" spans="1:8" ht="15" customHeight="1" x14ac:dyDescent="0.15">
      <c r="A44" s="255"/>
      <c r="B44" s="268" t="s">
        <v>64</v>
      </c>
      <c r="C44" s="269" t="s">
        <v>289</v>
      </c>
      <c r="D44" s="269">
        <v>0</v>
      </c>
      <c r="E44" s="270">
        <v>1900000</v>
      </c>
      <c r="F44" s="271"/>
      <c r="G44" s="209" t="s">
        <v>285</v>
      </c>
    </row>
    <row r="45" spans="1:8" ht="15" customHeight="1" x14ac:dyDescent="0.15">
      <c r="A45" s="255"/>
      <c r="B45" s="268" t="s">
        <v>142</v>
      </c>
      <c r="C45" s="269" t="s">
        <v>290</v>
      </c>
      <c r="D45" s="269">
        <v>0</v>
      </c>
      <c r="E45" s="270"/>
      <c r="F45" s="271">
        <v>50000</v>
      </c>
      <c r="G45" s="209" t="s">
        <v>291</v>
      </c>
    </row>
    <row r="46" spans="1:8" ht="15" customHeight="1" x14ac:dyDescent="0.15">
      <c r="A46" s="255"/>
      <c r="B46" s="268" t="s">
        <v>292</v>
      </c>
      <c r="C46" s="269" t="s">
        <v>293</v>
      </c>
      <c r="D46" s="269">
        <v>0</v>
      </c>
      <c r="E46" s="270">
        <v>0</v>
      </c>
      <c r="F46" s="271">
        <v>50000</v>
      </c>
      <c r="G46" s="209" t="s">
        <v>287</v>
      </c>
    </row>
    <row r="47" spans="1:8" ht="15" customHeight="1" x14ac:dyDescent="0.15">
      <c r="A47" s="255"/>
      <c r="B47" s="268" t="s">
        <v>145</v>
      </c>
      <c r="C47" s="269" t="s">
        <v>294</v>
      </c>
      <c r="D47" s="269">
        <v>0</v>
      </c>
      <c r="E47" s="270">
        <v>0</v>
      </c>
      <c r="F47" s="271">
        <v>45000</v>
      </c>
      <c r="G47" s="209" t="s">
        <v>295</v>
      </c>
    </row>
    <row r="48" spans="1:8" ht="15" customHeight="1" x14ac:dyDescent="0.15">
      <c r="A48" s="255"/>
      <c r="B48" s="268"/>
      <c r="C48" s="269"/>
      <c r="D48" s="269"/>
      <c r="E48" s="270"/>
      <c r="F48" s="271"/>
    </row>
    <row r="49" spans="1:10" ht="15" customHeight="1" x14ac:dyDescent="0.15">
      <c r="A49" s="255"/>
      <c r="B49" s="272"/>
      <c r="C49" s="273"/>
      <c r="D49" s="269">
        <v>0</v>
      </c>
      <c r="E49" s="270"/>
      <c r="F49" s="274"/>
    </row>
    <row r="50" spans="1:10" ht="15" customHeight="1" x14ac:dyDescent="0.15">
      <c r="A50" s="255"/>
      <c r="B50" s="275"/>
      <c r="C50" s="276" t="s">
        <v>296</v>
      </c>
      <c r="D50" s="277">
        <f>SUM(D41:D49)</f>
        <v>0</v>
      </c>
      <c r="E50" s="278">
        <f>SUM(E41:E49)</f>
        <v>3500000</v>
      </c>
      <c r="F50" s="279"/>
    </row>
    <row r="51" spans="1:10" ht="15" customHeight="1" x14ac:dyDescent="0.15">
      <c r="A51" s="255"/>
      <c r="B51" s="275"/>
      <c r="C51" s="280"/>
      <c r="D51" s="281"/>
      <c r="E51" s="281"/>
      <c r="F51" s="282"/>
    </row>
    <row r="52" spans="1:10" ht="15" customHeight="1" x14ac:dyDescent="0.15">
      <c r="A52" s="255"/>
      <c r="B52" s="258" t="s">
        <v>297</v>
      </c>
      <c r="C52" s="283"/>
      <c r="D52" s="283"/>
      <c r="E52" s="283"/>
      <c r="F52" s="283"/>
      <c r="J52" s="284"/>
    </row>
    <row r="53" spans="1:10" ht="15" customHeight="1" x14ac:dyDescent="0.15">
      <c r="A53" s="255"/>
      <c r="B53" s="285" t="s">
        <v>279</v>
      </c>
      <c r="C53" s="286" t="s">
        <v>298</v>
      </c>
      <c r="D53" s="286" t="s">
        <v>210</v>
      </c>
      <c r="E53" s="287" t="s">
        <v>299</v>
      </c>
      <c r="F53" s="288" t="s">
        <v>300</v>
      </c>
    </row>
    <row r="54" spans="1:10" ht="15" customHeight="1" x14ac:dyDescent="0.15">
      <c r="A54" s="255"/>
      <c r="B54" s="289" t="s">
        <v>265</v>
      </c>
      <c r="C54" s="290" t="s">
        <v>301</v>
      </c>
      <c r="D54" s="290">
        <v>49500</v>
      </c>
      <c r="E54" s="291">
        <v>1900000</v>
      </c>
      <c r="F54" s="292">
        <f>D54+E54</f>
        <v>1949500</v>
      </c>
    </row>
    <row r="55" spans="1:10" ht="15" customHeight="1" x14ac:dyDescent="0.15">
      <c r="A55" s="255"/>
      <c r="B55" s="293" t="s">
        <v>259</v>
      </c>
      <c r="C55" s="269" t="s">
        <v>301</v>
      </c>
      <c r="D55" s="269">
        <v>49500</v>
      </c>
      <c r="E55" s="270">
        <v>1900000</v>
      </c>
      <c r="F55" s="271">
        <f t="shared" ref="F55:F61" si="0">D55+E55</f>
        <v>1949500</v>
      </c>
    </row>
    <row r="56" spans="1:10" ht="15" customHeight="1" x14ac:dyDescent="0.15">
      <c r="A56" s="255"/>
      <c r="B56" s="293" t="s">
        <v>246</v>
      </c>
      <c r="C56" s="269" t="s">
        <v>302</v>
      </c>
      <c r="D56" s="269">
        <v>44000</v>
      </c>
      <c r="E56" s="270">
        <v>1700000</v>
      </c>
      <c r="F56" s="271">
        <f t="shared" si="0"/>
        <v>1744000</v>
      </c>
    </row>
    <row r="57" spans="1:10" ht="15" customHeight="1" x14ac:dyDescent="0.15">
      <c r="A57" s="255"/>
      <c r="B57" s="293" t="s">
        <v>228</v>
      </c>
      <c r="C57" s="269" t="s">
        <v>302</v>
      </c>
      <c r="D57" s="269">
        <v>44000</v>
      </c>
      <c r="E57" s="270">
        <v>1600000</v>
      </c>
      <c r="F57" s="271">
        <f t="shared" si="0"/>
        <v>1644000</v>
      </c>
    </row>
    <row r="58" spans="1:10" ht="15" customHeight="1" x14ac:dyDescent="0.15">
      <c r="A58" s="255"/>
      <c r="B58" s="293" t="s">
        <v>269</v>
      </c>
      <c r="C58" s="269" t="s">
        <v>302</v>
      </c>
      <c r="D58" s="269">
        <v>44000</v>
      </c>
      <c r="E58" s="270">
        <v>1600000</v>
      </c>
      <c r="F58" s="271">
        <f t="shared" si="0"/>
        <v>1644000</v>
      </c>
    </row>
    <row r="59" spans="1:10" ht="15" customHeight="1" x14ac:dyDescent="0.15">
      <c r="A59" s="255"/>
      <c r="B59" s="294" t="s">
        <v>303</v>
      </c>
      <c r="C59" s="295" t="s">
        <v>304</v>
      </c>
      <c r="D59" s="269">
        <v>44000</v>
      </c>
      <c r="E59" s="296">
        <v>1600000</v>
      </c>
      <c r="F59" s="271">
        <f t="shared" si="0"/>
        <v>1644000</v>
      </c>
    </row>
    <row r="60" spans="1:10" ht="15" customHeight="1" x14ac:dyDescent="0.15">
      <c r="A60" s="255"/>
      <c r="B60" s="294" t="s">
        <v>305</v>
      </c>
      <c r="C60" s="295" t="s">
        <v>306</v>
      </c>
      <c r="D60" s="269">
        <v>22000</v>
      </c>
      <c r="E60" s="296">
        <v>800000</v>
      </c>
      <c r="F60" s="271">
        <f t="shared" si="0"/>
        <v>822000</v>
      </c>
    </row>
    <row r="61" spans="1:10" ht="15" customHeight="1" x14ac:dyDescent="0.15">
      <c r="A61" s="255"/>
      <c r="B61" s="293" t="s">
        <v>307</v>
      </c>
      <c r="C61" s="295" t="s">
        <v>308</v>
      </c>
      <c r="D61" s="269">
        <v>33000</v>
      </c>
      <c r="E61" s="296">
        <v>1200000</v>
      </c>
      <c r="F61" s="271">
        <f t="shared" si="0"/>
        <v>1233000</v>
      </c>
    </row>
    <row r="62" spans="1:10" ht="15" customHeight="1" x14ac:dyDescent="0.15">
      <c r="A62" s="255"/>
      <c r="B62" s="297" t="s">
        <v>309</v>
      </c>
      <c r="C62" s="298" t="s">
        <v>310</v>
      </c>
      <c r="D62" s="299">
        <v>0</v>
      </c>
      <c r="E62" s="300">
        <v>0</v>
      </c>
      <c r="F62" s="301" t="s">
        <v>311</v>
      </c>
    </row>
    <row r="63" spans="1:10" ht="15" customHeight="1" x14ac:dyDescent="0.15">
      <c r="A63" s="255"/>
      <c r="B63" s="302"/>
      <c r="C63" s="303" t="s">
        <v>296</v>
      </c>
      <c r="D63" s="304">
        <f>SUM(D54:D62)</f>
        <v>330000</v>
      </c>
      <c r="E63" s="305">
        <f>SUM(E54:E62)</f>
        <v>12300000</v>
      </c>
      <c r="F63" s="306">
        <f>SUM(F54:F62)</f>
        <v>12630000</v>
      </c>
    </row>
    <row r="64" spans="1:10" ht="15" customHeight="1" x14ac:dyDescent="0.15">
      <c r="A64" s="255"/>
      <c r="B64" s="302"/>
      <c r="C64" s="302"/>
      <c r="D64" s="255"/>
      <c r="E64" s="255"/>
      <c r="F64" s="275"/>
    </row>
    <row r="65" spans="1:10" ht="15" customHeight="1" x14ac:dyDescent="0.15">
      <c r="A65" s="255"/>
      <c r="B65" s="302" t="s">
        <v>312</v>
      </c>
      <c r="C65" s="307" t="s">
        <v>313</v>
      </c>
      <c r="D65" s="308" t="s">
        <v>314</v>
      </c>
      <c r="E65" s="308" t="s">
        <v>315</v>
      </c>
      <c r="F65" s="275"/>
    </row>
    <row r="66" spans="1:10" ht="15" customHeight="1" x14ac:dyDescent="0.15">
      <c r="A66" s="255"/>
      <c r="B66" s="302"/>
      <c r="C66" s="279">
        <v>14900</v>
      </c>
      <c r="D66" s="309">
        <v>15400</v>
      </c>
      <c r="E66" s="309">
        <v>15810</v>
      </c>
      <c r="F66" s="275"/>
    </row>
    <row r="67" spans="1:10" ht="15" customHeight="1" x14ac:dyDescent="0.15">
      <c r="A67" s="255"/>
      <c r="B67" s="302"/>
      <c r="C67" s="302"/>
      <c r="D67" s="255"/>
      <c r="E67" s="255"/>
      <c r="F67" s="275"/>
    </row>
    <row r="68" spans="1:10" ht="15" customHeight="1" x14ac:dyDescent="0.15">
      <c r="A68" s="255"/>
      <c r="B68" s="302"/>
      <c r="C68" s="256" t="s">
        <v>316</v>
      </c>
      <c r="D68" s="255"/>
      <c r="E68" s="255"/>
      <c r="F68" s="275"/>
    </row>
    <row r="69" spans="1:10" x14ac:dyDescent="0.15">
      <c r="A69" s="255"/>
      <c r="B69" s="302"/>
      <c r="C69" s="256"/>
      <c r="D69" s="255"/>
      <c r="E69" s="255"/>
      <c r="F69" s="275"/>
    </row>
    <row r="70" spans="1:10" ht="17.25" customHeight="1" x14ac:dyDescent="0.15"/>
    <row r="71" spans="1:10" x14ac:dyDescent="0.15">
      <c r="J71" s="310"/>
    </row>
    <row r="72" spans="1:10" x14ac:dyDescent="0.15">
      <c r="G72" s="311"/>
      <c r="J72" s="310"/>
    </row>
    <row r="73" spans="1:10" x14ac:dyDescent="0.15">
      <c r="G73" s="311"/>
    </row>
  </sheetData>
  <mergeCells count="14">
    <mergeCell ref="G15:H15"/>
    <mergeCell ref="G16:H16"/>
    <mergeCell ref="G9:H9"/>
    <mergeCell ref="G10:H10"/>
    <mergeCell ref="G11:H11"/>
    <mergeCell ref="G12:H12"/>
    <mergeCell ref="G13:H13"/>
    <mergeCell ref="G14:H14"/>
    <mergeCell ref="G8:H8"/>
    <mergeCell ref="G3:H3"/>
    <mergeCell ref="G4:H4"/>
    <mergeCell ref="G5:H5"/>
    <mergeCell ref="G6:H6"/>
    <mergeCell ref="G7:H7"/>
  </mergeCells>
  <phoneticPr fontId="3" type="noConversion"/>
  <pageMargins left="0.7" right="0.7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857C7-F199-4F7C-AC91-255656C0C905}">
  <sheetPr>
    <tabColor theme="4" tint="0.59999389629810485"/>
  </sheetPr>
  <dimension ref="A1:J73"/>
  <sheetViews>
    <sheetView topLeftCell="A34" zoomScale="90" zoomScaleNormal="90" workbookViewId="0">
      <selection activeCell="C30" sqref="C30"/>
    </sheetView>
  </sheetViews>
  <sheetFormatPr defaultColWidth="9.5" defaultRowHeight="15.95" customHeight="1" x14ac:dyDescent="0.15"/>
  <cols>
    <col min="1" max="1" width="17.33203125" style="1" bestFit="1" customWidth="1"/>
    <col min="2" max="2" width="26.33203125" style="1" bestFit="1" customWidth="1"/>
    <col min="3" max="3" width="10" style="1" bestFit="1" customWidth="1"/>
    <col min="4" max="4" width="16.33203125" style="27" bestFit="1" customWidth="1"/>
    <col min="5" max="5" width="43.1640625" style="27" bestFit="1" customWidth="1"/>
    <col min="6" max="6" width="38.5" style="1" bestFit="1" customWidth="1"/>
    <col min="7" max="7" width="9.5" style="1"/>
    <col min="8" max="8" width="9.5" style="27"/>
    <col min="9" max="9" width="5.5" style="1" bestFit="1" customWidth="1"/>
    <col min="10" max="16384" width="9.5" style="1"/>
  </cols>
  <sheetData>
    <row r="1" spans="1:10" ht="20.100000000000001" customHeight="1" x14ac:dyDescent="0.15">
      <c r="A1" s="322" t="s">
        <v>197</v>
      </c>
      <c r="B1" s="322"/>
      <c r="C1" s="323" t="s">
        <v>39</v>
      </c>
      <c r="D1" s="323"/>
      <c r="F1" s="24"/>
    </row>
    <row r="2" spans="1:10" ht="20.100000000000001" customHeight="1" x14ac:dyDescent="0.15">
      <c r="E2" s="24"/>
      <c r="F2" s="24"/>
    </row>
    <row r="3" spans="1:10" ht="20.100000000000001" customHeight="1" x14ac:dyDescent="0.15">
      <c r="A3" s="324"/>
      <c r="B3" s="324"/>
      <c r="C3" s="324"/>
      <c r="D3" s="324"/>
      <c r="E3" s="324"/>
      <c r="F3" s="187"/>
    </row>
    <row r="4" spans="1:10" ht="20.100000000000001" customHeight="1" x14ac:dyDescent="0.15">
      <c r="A4" s="2" t="s">
        <v>56</v>
      </c>
      <c r="B4" s="2"/>
      <c r="E4" s="28" t="s">
        <v>41</v>
      </c>
    </row>
    <row r="5" spans="1:10" ht="15.95" customHeight="1" x14ac:dyDescent="0.15">
      <c r="A5" s="30" t="s">
        <v>17</v>
      </c>
      <c r="B5" s="31" t="s">
        <v>40</v>
      </c>
      <c r="C5" s="65" t="s">
        <v>18</v>
      </c>
      <c r="D5" s="50" t="s">
        <v>54</v>
      </c>
      <c r="E5" s="32" t="s">
        <v>186</v>
      </c>
      <c r="F5" s="32" t="s">
        <v>37</v>
      </c>
      <c r="H5" s="86" t="s">
        <v>78</v>
      </c>
    </row>
    <row r="6" spans="1:10" ht="15.95" customHeight="1" x14ac:dyDescent="0.15">
      <c r="A6" s="18" t="s">
        <v>139</v>
      </c>
      <c r="B6" s="19" t="s">
        <v>140</v>
      </c>
      <c r="C6" s="66"/>
      <c r="D6" s="94">
        <v>120</v>
      </c>
      <c r="E6" s="96"/>
      <c r="F6" s="17"/>
      <c r="G6" s="1">
        <f>D6/26</f>
        <v>4.615384615384615</v>
      </c>
      <c r="H6" s="315"/>
      <c r="J6" s="24"/>
    </row>
    <row r="7" spans="1:10" ht="15.95" customHeight="1" x14ac:dyDescent="0.15">
      <c r="A7" s="18" t="s">
        <v>64</v>
      </c>
      <c r="B7" s="19" t="s">
        <v>140</v>
      </c>
      <c r="C7" s="66"/>
      <c r="D7" s="94" t="s">
        <v>141</v>
      </c>
      <c r="E7" s="96"/>
      <c r="F7" s="147" t="s">
        <v>132</v>
      </c>
      <c r="H7" s="317"/>
    </row>
    <row r="8" spans="1:10" ht="15.95" customHeight="1" x14ac:dyDescent="0.15">
      <c r="A8" s="166" t="s">
        <v>142</v>
      </c>
      <c r="B8" s="167" t="s">
        <v>143</v>
      </c>
      <c r="C8" s="51">
        <f>G8</f>
        <v>94.5</v>
      </c>
      <c r="D8" s="90" t="s">
        <v>133</v>
      </c>
      <c r="E8" s="96">
        <v>21</v>
      </c>
      <c r="F8" s="165"/>
      <c r="G8" s="1">
        <f>E8*4.5</f>
        <v>94.5</v>
      </c>
    </row>
    <row r="9" spans="1:10" ht="15.95" customHeight="1" x14ac:dyDescent="0.15">
      <c r="A9" s="166" t="s">
        <v>144</v>
      </c>
      <c r="B9" s="168" t="s">
        <v>149</v>
      </c>
      <c r="C9" s="51">
        <f>G9</f>
        <v>100</v>
      </c>
      <c r="D9" s="171" t="s">
        <v>160</v>
      </c>
      <c r="E9" s="48">
        <v>20</v>
      </c>
      <c r="F9" s="17"/>
      <c r="G9" s="1">
        <f>E9*5</f>
        <v>100</v>
      </c>
    </row>
    <row r="10" spans="1:10" ht="15.95" customHeight="1" x14ac:dyDescent="0.15">
      <c r="A10" s="166"/>
      <c r="B10" s="168"/>
      <c r="C10" s="51"/>
      <c r="D10" s="90"/>
      <c r="E10" s="174"/>
      <c r="F10" s="165"/>
      <c r="H10" s="203"/>
    </row>
    <row r="11" spans="1:10" ht="15.95" customHeight="1" x14ac:dyDescent="0.15">
      <c r="A11" s="46" t="s">
        <v>145</v>
      </c>
      <c r="B11" s="52" t="s">
        <v>149</v>
      </c>
      <c r="C11" s="51">
        <f>G11</f>
        <v>88</v>
      </c>
      <c r="D11" s="90" t="s">
        <v>146</v>
      </c>
      <c r="E11" s="48">
        <v>22</v>
      </c>
      <c r="F11" s="48"/>
      <c r="G11" s="1">
        <f>E11*4</f>
        <v>88</v>
      </c>
    </row>
    <row r="12" spans="1:10" ht="15.95" customHeight="1" x14ac:dyDescent="0.15">
      <c r="A12" s="46" t="s">
        <v>13</v>
      </c>
      <c r="B12" s="52" t="s">
        <v>149</v>
      </c>
      <c r="C12" s="51">
        <f>G12</f>
        <v>126</v>
      </c>
      <c r="D12" s="90" t="s">
        <v>147</v>
      </c>
      <c r="E12" s="48">
        <v>21</v>
      </c>
      <c r="F12" s="48"/>
      <c r="G12" s="1">
        <f>E12*6</f>
        <v>126</v>
      </c>
    </row>
    <row r="13" spans="1:10" ht="15.95" customHeight="1" x14ac:dyDescent="0.15">
      <c r="A13" s="175"/>
      <c r="B13" s="176"/>
      <c r="C13" s="177"/>
      <c r="D13" s="178"/>
      <c r="E13" s="179"/>
      <c r="F13" s="179"/>
    </row>
    <row r="15" spans="1:10" ht="15.95" customHeight="1" x14ac:dyDescent="0.15">
      <c r="A15" s="2" t="s">
        <v>14</v>
      </c>
      <c r="B15" s="2"/>
      <c r="E15" s="27" t="s">
        <v>45</v>
      </c>
    </row>
    <row r="16" spans="1:10" ht="15.95" customHeight="1" x14ac:dyDescent="0.15">
      <c r="A16" s="30" t="s">
        <v>59</v>
      </c>
      <c r="B16" s="31" t="s">
        <v>43</v>
      </c>
      <c r="C16" s="325" t="s">
        <v>17</v>
      </c>
      <c r="D16" s="326"/>
      <c r="E16" s="327"/>
      <c r="F16" s="32" t="s">
        <v>9</v>
      </c>
      <c r="H16" s="86" t="s">
        <v>78</v>
      </c>
    </row>
    <row r="17" spans="1:9" ht="15.95" customHeight="1" x14ac:dyDescent="0.15">
      <c r="A17" s="95">
        <v>15</v>
      </c>
      <c r="B17" s="29"/>
      <c r="C17" s="312" t="s">
        <v>61</v>
      </c>
      <c r="D17" s="313"/>
      <c r="E17" s="314"/>
      <c r="F17" s="36" t="s">
        <v>3</v>
      </c>
      <c r="H17" s="315"/>
    </row>
    <row r="18" spans="1:9" ht="15.95" customHeight="1" x14ac:dyDescent="0.15">
      <c r="A18" s="188">
        <v>15</v>
      </c>
      <c r="B18" s="189"/>
      <c r="C18" s="318" t="s">
        <v>154</v>
      </c>
      <c r="D18" s="319"/>
      <c r="E18" s="320"/>
      <c r="F18" s="190" t="s">
        <v>4</v>
      </c>
      <c r="H18" s="316"/>
    </row>
    <row r="19" spans="1:9" ht="32.1" customHeight="1" x14ac:dyDescent="0.15">
      <c r="A19" s="95">
        <v>20</v>
      </c>
      <c r="B19" s="29"/>
      <c r="C19" s="321" t="s">
        <v>185</v>
      </c>
      <c r="D19" s="313"/>
      <c r="E19" s="314"/>
      <c r="F19" s="36" t="s">
        <v>5</v>
      </c>
      <c r="H19" s="317"/>
    </row>
    <row r="20" spans="1:9" ht="15.95" customHeight="1" x14ac:dyDescent="0.15">
      <c r="A20" s="61">
        <v>20</v>
      </c>
      <c r="B20" s="62" t="s">
        <v>62</v>
      </c>
      <c r="C20" s="321" t="s">
        <v>60</v>
      </c>
      <c r="D20" s="328"/>
      <c r="E20" s="329"/>
      <c r="F20" s="57"/>
    </row>
    <row r="21" spans="1:9" ht="15.95" customHeight="1" x14ac:dyDescent="0.15">
      <c r="A21" s="330"/>
      <c r="B21" s="331"/>
      <c r="C21" s="331"/>
      <c r="D21" s="331"/>
      <c r="E21" s="331"/>
      <c r="F21" s="332"/>
    </row>
    <row r="22" spans="1:9" ht="15.95" customHeight="1" x14ac:dyDescent="0.15">
      <c r="C22" s="2"/>
      <c r="D22" s="12"/>
    </row>
    <row r="23" spans="1:9" ht="15.95" customHeight="1" x14ac:dyDescent="0.15">
      <c r="A23" s="2" t="s">
        <v>131</v>
      </c>
      <c r="B23" s="2"/>
      <c r="E23" s="28" t="s">
        <v>41</v>
      </c>
    </row>
    <row r="24" spans="1:9" ht="15.95" customHeight="1" x14ac:dyDescent="0.15">
      <c r="A24" s="30" t="s">
        <v>17</v>
      </c>
      <c r="B24" s="31" t="s">
        <v>8</v>
      </c>
      <c r="C24" s="65" t="s">
        <v>18</v>
      </c>
      <c r="D24" s="50" t="s">
        <v>54</v>
      </c>
      <c r="E24" s="65" t="s">
        <v>79</v>
      </c>
      <c r="F24" s="32" t="s">
        <v>37</v>
      </c>
      <c r="G24" s="54"/>
      <c r="H24" s="54"/>
    </row>
    <row r="25" spans="1:9" ht="15.95" customHeight="1" x14ac:dyDescent="0.15">
      <c r="A25" s="169" t="s">
        <v>10</v>
      </c>
      <c r="B25" s="83" t="s">
        <v>153</v>
      </c>
      <c r="C25" s="170">
        <f>G25</f>
        <v>232.4</v>
      </c>
      <c r="D25" s="148" t="s">
        <v>171</v>
      </c>
      <c r="E25" s="88" t="s">
        <v>202</v>
      </c>
      <c r="F25" s="147" t="s">
        <v>138</v>
      </c>
      <c r="G25" s="1">
        <f>230+H25</f>
        <v>232.4</v>
      </c>
      <c r="H25" s="27">
        <f>1.6*I25</f>
        <v>2.4000000000000004</v>
      </c>
      <c r="I25" s="1">
        <v>1.5</v>
      </c>
    </row>
    <row r="26" spans="1:9" ht="15.95" customHeight="1" x14ac:dyDescent="0.15">
      <c r="A26" s="84" t="s">
        <v>70</v>
      </c>
      <c r="B26" s="83" t="s">
        <v>153</v>
      </c>
      <c r="C26" s="66">
        <f>D26+H26</f>
        <v>190</v>
      </c>
      <c r="D26" s="49">
        <v>190</v>
      </c>
      <c r="E26" s="88"/>
      <c r="F26" s="149" t="s">
        <v>172</v>
      </c>
      <c r="H26" s="27">
        <f t="shared" ref="H26:H33" si="0">1.6*I26</f>
        <v>0</v>
      </c>
    </row>
    <row r="27" spans="1:9" ht="15.95" customHeight="1" x14ac:dyDescent="0.15">
      <c r="A27" s="84" t="s">
        <v>68</v>
      </c>
      <c r="B27" s="83" t="s">
        <v>75</v>
      </c>
      <c r="C27" s="66">
        <f t="shared" ref="C27:C31" si="1">D27+H27</f>
        <v>170</v>
      </c>
      <c r="D27" s="49">
        <v>170</v>
      </c>
      <c r="E27" s="88"/>
      <c r="F27" s="149" t="s">
        <v>172</v>
      </c>
      <c r="H27" s="27">
        <f t="shared" si="0"/>
        <v>0</v>
      </c>
    </row>
    <row r="28" spans="1:9" ht="15.95" customHeight="1" x14ac:dyDescent="0.15">
      <c r="A28" s="18" t="s">
        <v>81</v>
      </c>
      <c r="B28" s="19" t="s">
        <v>127</v>
      </c>
      <c r="C28" s="66">
        <f t="shared" si="1"/>
        <v>120</v>
      </c>
      <c r="D28" s="49">
        <v>120</v>
      </c>
      <c r="E28" s="88"/>
      <c r="F28" s="57"/>
      <c r="H28" s="27">
        <f t="shared" si="0"/>
        <v>0</v>
      </c>
      <c r="I28" s="24"/>
    </row>
    <row r="29" spans="1:9" ht="15.95" customHeight="1" x14ac:dyDescent="0.15">
      <c r="A29" s="18" t="s">
        <v>42</v>
      </c>
      <c r="B29" s="83" t="s">
        <v>75</v>
      </c>
      <c r="C29" s="66">
        <f t="shared" si="1"/>
        <v>160</v>
      </c>
      <c r="D29" s="49">
        <v>160</v>
      </c>
      <c r="E29" s="88"/>
      <c r="F29" s="36"/>
      <c r="G29" s="1">
        <f>160/26</f>
        <v>6.1538461538461542</v>
      </c>
      <c r="H29" s="27">
        <f t="shared" si="0"/>
        <v>0</v>
      </c>
      <c r="I29" s="24"/>
    </row>
    <row r="30" spans="1:9" ht="15.95" customHeight="1" x14ac:dyDescent="0.15">
      <c r="A30" s="46" t="s">
        <v>69</v>
      </c>
      <c r="B30" s="47" t="s">
        <v>75</v>
      </c>
      <c r="C30" s="66">
        <f t="shared" si="1"/>
        <v>128</v>
      </c>
      <c r="D30" s="51">
        <v>160</v>
      </c>
      <c r="E30" s="88" t="s">
        <v>183</v>
      </c>
      <c r="F30" s="57" t="s">
        <v>203</v>
      </c>
      <c r="G30" s="1">
        <f>D30+H30</f>
        <v>128</v>
      </c>
      <c r="H30" s="27">
        <f t="shared" si="0"/>
        <v>-32</v>
      </c>
      <c r="I30" s="24">
        <v>-20</v>
      </c>
    </row>
    <row r="31" spans="1:9" ht="15.95" customHeight="1" x14ac:dyDescent="0.15">
      <c r="A31" s="46" t="s">
        <v>82</v>
      </c>
      <c r="B31" s="47" t="s">
        <v>75</v>
      </c>
      <c r="C31" s="66">
        <f t="shared" si="1"/>
        <v>153.6</v>
      </c>
      <c r="D31" s="51">
        <v>160</v>
      </c>
      <c r="E31" s="88"/>
      <c r="F31" s="57" t="s">
        <v>192</v>
      </c>
      <c r="G31" s="1">
        <f>160/26</f>
        <v>6.1538461538461542</v>
      </c>
      <c r="H31" s="27">
        <f t="shared" si="0"/>
        <v>-6.4</v>
      </c>
      <c r="I31" s="24">
        <v>-4</v>
      </c>
    </row>
    <row r="32" spans="1:9" ht="15.95" customHeight="1" x14ac:dyDescent="0.15">
      <c r="A32" s="46" t="s">
        <v>57</v>
      </c>
      <c r="B32" s="47" t="s">
        <v>127</v>
      </c>
      <c r="C32" s="51">
        <f>G32</f>
        <v>105.6</v>
      </c>
      <c r="D32" s="67" t="s">
        <v>173</v>
      </c>
      <c r="E32" s="69">
        <v>22</v>
      </c>
      <c r="F32" s="57"/>
      <c r="G32" s="1">
        <f>E32*4.8</f>
        <v>105.6</v>
      </c>
      <c r="I32" s="24"/>
    </row>
    <row r="33" spans="1:9" ht="15.95" customHeight="1" x14ac:dyDescent="0.15">
      <c r="A33" s="197" t="s">
        <v>184</v>
      </c>
      <c r="B33" s="47" t="s">
        <v>187</v>
      </c>
      <c r="C33" s="67">
        <f>G33</f>
        <v>92.8</v>
      </c>
      <c r="D33" s="67">
        <v>80</v>
      </c>
      <c r="E33" s="204" t="s">
        <v>195</v>
      </c>
      <c r="F33" s="57"/>
      <c r="G33" s="23">
        <f>80+H33</f>
        <v>92.8</v>
      </c>
      <c r="H33" s="27">
        <f t="shared" si="0"/>
        <v>12.8</v>
      </c>
      <c r="I33" s="24">
        <v>8</v>
      </c>
    </row>
    <row r="34" spans="1:9" ht="15.95" customHeight="1" x14ac:dyDescent="0.15">
      <c r="A34" s="197"/>
      <c r="B34" s="47"/>
      <c r="C34" s="67"/>
      <c r="D34" s="67"/>
      <c r="E34" s="90"/>
      <c r="F34" s="57"/>
      <c r="G34" s="23"/>
      <c r="H34" s="28"/>
    </row>
    <row r="35" spans="1:9" ht="15.95" customHeight="1" x14ac:dyDescent="0.15">
      <c r="A35" s="197"/>
      <c r="B35" s="47"/>
      <c r="C35" s="67"/>
      <c r="D35" s="67"/>
      <c r="E35" s="90"/>
      <c r="F35" s="57"/>
      <c r="G35" s="23"/>
      <c r="H35" s="28"/>
    </row>
    <row r="36" spans="1:9" ht="15.95" customHeight="1" x14ac:dyDescent="0.15">
      <c r="A36" s="333" t="s">
        <v>165</v>
      </c>
      <c r="B36" s="334"/>
      <c r="C36" s="334"/>
      <c r="D36" s="334"/>
      <c r="E36" s="334"/>
      <c r="F36" s="335"/>
      <c r="G36" s="1">
        <f>3*1.6</f>
        <v>4.8000000000000007</v>
      </c>
    </row>
    <row r="37" spans="1:9" ht="15.95" customHeight="1" x14ac:dyDescent="0.15">
      <c r="A37" s="26"/>
      <c r="B37" s="2"/>
      <c r="E37" s="28" t="s">
        <v>41</v>
      </c>
    </row>
    <row r="38" spans="1:9" ht="15.95" customHeight="1" x14ac:dyDescent="0.15">
      <c r="A38" s="26"/>
      <c r="B38" s="2"/>
      <c r="E38" s="28"/>
    </row>
    <row r="39" spans="1:9" ht="15.95" customHeight="1" thickBot="1" x14ac:dyDescent="0.2">
      <c r="A39" s="26" t="s">
        <v>129</v>
      </c>
      <c r="B39" s="2"/>
      <c r="E39" s="28"/>
    </row>
    <row r="40" spans="1:9" ht="12" thickBot="1" x14ac:dyDescent="0.2">
      <c r="A40" s="33" t="s">
        <v>17</v>
      </c>
      <c r="B40" s="34" t="s">
        <v>40</v>
      </c>
      <c r="C40" s="93" t="s">
        <v>63</v>
      </c>
      <c r="D40" s="34" t="s">
        <v>80</v>
      </c>
      <c r="E40" s="58" t="s">
        <v>9</v>
      </c>
      <c r="F40" s="35" t="s">
        <v>37</v>
      </c>
      <c r="H40" s="86" t="s">
        <v>78</v>
      </c>
    </row>
    <row r="41" spans="1:9" ht="15.95" customHeight="1" x14ac:dyDescent="0.15">
      <c r="A41" s="131"/>
      <c r="B41" s="132"/>
      <c r="C41" s="133"/>
      <c r="D41" s="134"/>
      <c r="E41" s="135"/>
      <c r="F41" s="136"/>
      <c r="H41" s="315"/>
    </row>
    <row r="42" spans="1:9" ht="15.95" customHeight="1" x14ac:dyDescent="0.15">
      <c r="A42" s="119" t="s">
        <v>55</v>
      </c>
      <c r="B42" s="120" t="s">
        <v>167</v>
      </c>
      <c r="C42" s="121">
        <v>254.4</v>
      </c>
      <c r="D42" s="122"/>
      <c r="E42" s="123"/>
      <c r="F42" s="124"/>
      <c r="H42" s="316"/>
    </row>
    <row r="43" spans="1:9" ht="15.95" customHeight="1" x14ac:dyDescent="0.15">
      <c r="A43" s="89" t="s">
        <v>148</v>
      </c>
      <c r="B43" s="68" t="s">
        <v>111</v>
      </c>
      <c r="C43" s="67">
        <v>412.8</v>
      </c>
      <c r="D43" s="90"/>
      <c r="E43" s="91"/>
      <c r="F43" s="92"/>
      <c r="G43" s="53"/>
      <c r="H43" s="317"/>
    </row>
    <row r="44" spans="1:9" ht="15.95" customHeight="1" x14ac:dyDescent="0.15">
      <c r="A44" s="89" t="s">
        <v>46</v>
      </c>
      <c r="B44" s="68" t="s">
        <v>155</v>
      </c>
      <c r="C44" s="67">
        <v>277.39999999999998</v>
      </c>
      <c r="D44" s="90"/>
      <c r="E44" s="91" t="s">
        <v>137</v>
      </c>
      <c r="F44" s="146"/>
      <c r="G44" s="53"/>
      <c r="H44" s="118"/>
    </row>
    <row r="45" spans="1:9" ht="15.95" customHeight="1" x14ac:dyDescent="0.15">
      <c r="A45" s="89" t="s">
        <v>151</v>
      </c>
      <c r="B45" s="68" t="s">
        <v>194</v>
      </c>
      <c r="C45" s="67">
        <v>253</v>
      </c>
      <c r="D45" s="90"/>
      <c r="E45" s="91"/>
      <c r="F45" s="180"/>
      <c r="G45" s="53"/>
      <c r="H45" s="118"/>
    </row>
    <row r="46" spans="1:9" ht="15.95" customHeight="1" x14ac:dyDescent="0.15">
      <c r="A46" s="89" t="s">
        <v>150</v>
      </c>
      <c r="B46" s="68" t="s">
        <v>168</v>
      </c>
      <c r="C46" s="67">
        <v>360.4</v>
      </c>
      <c r="D46" s="90"/>
      <c r="E46" s="91" t="s">
        <v>166</v>
      </c>
      <c r="F46" s="146"/>
      <c r="G46" s="53"/>
      <c r="H46" s="118"/>
    </row>
    <row r="47" spans="1:9" ht="15.95" customHeight="1" x14ac:dyDescent="0.15">
      <c r="A47" s="89" t="s">
        <v>189</v>
      </c>
      <c r="B47" s="68" t="s">
        <v>190</v>
      </c>
      <c r="C47" s="67">
        <v>284</v>
      </c>
      <c r="D47" s="90"/>
      <c r="E47" s="91"/>
      <c r="F47" s="146"/>
      <c r="G47" s="53"/>
    </row>
    <row r="48" spans="1:9" ht="15.95" customHeight="1" x14ac:dyDescent="0.15">
      <c r="A48" s="89"/>
      <c r="B48" s="68"/>
      <c r="C48" s="67"/>
      <c r="D48" s="90"/>
      <c r="E48" s="91"/>
      <c r="F48" s="146"/>
      <c r="G48" s="53"/>
    </row>
    <row r="49" spans="1:9" ht="15.95" customHeight="1" thickBot="1" x14ac:dyDescent="0.2">
      <c r="A49" s="181"/>
      <c r="B49" s="182"/>
      <c r="C49" s="183"/>
      <c r="D49" s="184"/>
      <c r="E49" s="185"/>
      <c r="F49" s="186"/>
      <c r="G49" s="53"/>
    </row>
    <row r="50" spans="1:9" ht="15.95" customHeight="1" x14ac:dyDescent="0.15">
      <c r="A50" s="138"/>
      <c r="B50" s="138"/>
      <c r="C50" s="26"/>
      <c r="D50" s="54"/>
      <c r="E50" s="54" t="s">
        <v>156</v>
      </c>
      <c r="F50" s="139"/>
      <c r="G50" s="23"/>
      <c r="H50" s="118"/>
      <c r="I50" s="140"/>
    </row>
    <row r="51" spans="1:9" ht="15.95" customHeight="1" thickBot="1" x14ac:dyDescent="0.2">
      <c r="A51" s="26" t="s">
        <v>152</v>
      </c>
      <c r="B51" s="138"/>
      <c r="C51" s="26"/>
      <c r="D51" s="54"/>
      <c r="E51" s="54"/>
      <c r="F51" s="139"/>
      <c r="G51" s="23"/>
      <c r="H51" s="118"/>
      <c r="I51" s="140"/>
    </row>
    <row r="52" spans="1:9" ht="15.95" customHeight="1" x14ac:dyDescent="0.15">
      <c r="A52" s="141" t="s">
        <v>36</v>
      </c>
      <c r="B52" s="142"/>
      <c r="C52" s="143">
        <v>41</v>
      </c>
      <c r="D52" s="159"/>
      <c r="E52" s="144" t="s">
        <v>201</v>
      </c>
      <c r="F52" s="145" t="s">
        <v>193</v>
      </c>
      <c r="G52" s="53">
        <f>8.5*4</f>
        <v>34</v>
      </c>
    </row>
    <row r="53" spans="1:9" ht="15.95" customHeight="1" x14ac:dyDescent="0.15">
      <c r="A53" s="137" t="s">
        <v>15</v>
      </c>
      <c r="B53" s="68"/>
      <c r="C53" s="67">
        <v>36</v>
      </c>
      <c r="D53" s="160"/>
      <c r="E53" s="158"/>
      <c r="F53" s="157" t="s">
        <v>174</v>
      </c>
    </row>
    <row r="54" spans="1:9" ht="15.95" customHeight="1" x14ac:dyDescent="0.15">
      <c r="A54" s="89"/>
      <c r="B54" s="68"/>
      <c r="C54" s="67"/>
      <c r="D54" s="160"/>
      <c r="E54" s="91"/>
      <c r="F54" s="78"/>
      <c r="G54" s="53"/>
    </row>
    <row r="55" spans="1:9" ht="15.95" customHeight="1" x14ac:dyDescent="0.15">
      <c r="A55" s="89" t="s">
        <v>188</v>
      </c>
      <c r="B55" s="68"/>
      <c r="C55" s="67">
        <v>2</v>
      </c>
      <c r="D55" s="160"/>
      <c r="E55" s="91"/>
      <c r="F55" s="78"/>
      <c r="G55" s="53"/>
    </row>
    <row r="56" spans="1:9" ht="15.95" customHeight="1" x14ac:dyDescent="0.15">
      <c r="A56" s="89" t="s">
        <v>157</v>
      </c>
      <c r="B56" s="68"/>
      <c r="C56" s="67">
        <v>2</v>
      </c>
      <c r="D56" s="160"/>
      <c r="E56" s="91"/>
      <c r="F56" s="78"/>
      <c r="G56" s="53"/>
    </row>
    <row r="57" spans="1:9" ht="15.95" customHeight="1" x14ac:dyDescent="0.15">
      <c r="A57" s="89" t="s">
        <v>175</v>
      </c>
      <c r="B57" s="68"/>
      <c r="C57" s="67">
        <v>4</v>
      </c>
      <c r="D57" s="160"/>
      <c r="E57" s="91"/>
      <c r="F57" s="78"/>
      <c r="G57" s="53"/>
    </row>
    <row r="58" spans="1:9" ht="15.95" customHeight="1" x14ac:dyDescent="0.15">
      <c r="A58" s="89"/>
      <c r="B58" s="68"/>
      <c r="C58" s="67"/>
      <c r="D58" s="160"/>
      <c r="E58" s="91"/>
      <c r="F58" s="78"/>
      <c r="G58" s="53"/>
    </row>
    <row r="59" spans="1:9" ht="15.95" customHeight="1" x14ac:dyDescent="0.15">
      <c r="A59" s="89"/>
      <c r="B59" s="68"/>
      <c r="C59" s="67"/>
      <c r="D59" s="160"/>
      <c r="E59" s="91"/>
      <c r="F59" s="78"/>
      <c r="G59" s="53"/>
    </row>
    <row r="60" spans="1:9" ht="15.95" customHeight="1" x14ac:dyDescent="0.15">
      <c r="A60" s="89"/>
      <c r="B60" s="68"/>
      <c r="C60" s="67"/>
      <c r="D60" s="160"/>
      <c r="E60" s="91"/>
      <c r="F60" s="78"/>
      <c r="G60" s="53"/>
    </row>
    <row r="61" spans="1:9" ht="15.95" customHeight="1" x14ac:dyDescent="0.15">
      <c r="A61" s="89"/>
      <c r="B61" s="68"/>
      <c r="C61" s="67"/>
      <c r="D61" s="160"/>
      <c r="E61" s="91"/>
      <c r="F61" s="78"/>
      <c r="G61" s="53"/>
    </row>
    <row r="62" spans="1:9" ht="15.95" customHeight="1" thickBot="1" x14ac:dyDescent="0.2">
      <c r="A62" s="79"/>
      <c r="B62" s="80"/>
      <c r="C62" s="87"/>
      <c r="D62" s="161"/>
      <c r="E62" s="82"/>
      <c r="F62" s="81"/>
    </row>
    <row r="63" spans="1:9" ht="15" customHeight="1" x14ac:dyDescent="0.15">
      <c r="A63" s="26"/>
      <c r="B63" s="2"/>
      <c r="E63" s="28"/>
    </row>
    <row r="64" spans="1:9" ht="15" customHeight="1" thickBot="1" x14ac:dyDescent="0.2">
      <c r="A64" s="2" t="s">
        <v>130</v>
      </c>
      <c r="B64" s="2"/>
      <c r="E64" s="28"/>
      <c r="F64" s="24"/>
    </row>
    <row r="65" spans="1:10" ht="15" customHeight="1" x14ac:dyDescent="0.15">
      <c r="A65" s="70" t="s">
        <v>77</v>
      </c>
      <c r="B65" s="71" t="s">
        <v>76</v>
      </c>
      <c r="C65" s="72" t="s">
        <v>65</v>
      </c>
      <c r="D65" s="71" t="s">
        <v>29</v>
      </c>
      <c r="E65" s="73" t="s">
        <v>37</v>
      </c>
      <c r="F65" s="199" t="s">
        <v>54</v>
      </c>
      <c r="G65" s="54"/>
      <c r="H65" s="86" t="s">
        <v>78</v>
      </c>
    </row>
    <row r="66" spans="1:10" ht="15" customHeight="1" x14ac:dyDescent="0.15">
      <c r="A66" s="85" t="s">
        <v>198</v>
      </c>
      <c r="B66" s="172" t="s">
        <v>191</v>
      </c>
      <c r="C66" s="60">
        <v>13.8</v>
      </c>
      <c r="D66" s="59">
        <v>1</v>
      </c>
      <c r="E66" s="74"/>
      <c r="F66" s="200" t="s">
        <v>179</v>
      </c>
      <c r="G66" s="2"/>
      <c r="H66" s="336"/>
    </row>
    <row r="67" spans="1:10" ht="15" customHeight="1" x14ac:dyDescent="0.15">
      <c r="A67" s="85" t="s">
        <v>188</v>
      </c>
      <c r="B67" s="172" t="s">
        <v>199</v>
      </c>
      <c r="C67" s="60">
        <v>13.8</v>
      </c>
      <c r="D67" s="59">
        <v>1</v>
      </c>
      <c r="E67" s="74"/>
      <c r="F67" s="201" t="s">
        <v>180</v>
      </c>
      <c r="G67" s="2"/>
      <c r="H67" s="337"/>
    </row>
    <row r="68" spans="1:10" ht="15" customHeight="1" x14ac:dyDescent="0.15">
      <c r="A68" s="85" t="s">
        <v>178</v>
      </c>
      <c r="B68" s="172" t="s">
        <v>191</v>
      </c>
      <c r="C68" s="60">
        <v>18</v>
      </c>
      <c r="D68" s="59">
        <v>3.5</v>
      </c>
      <c r="E68" s="74"/>
      <c r="F68" s="201" t="s">
        <v>181</v>
      </c>
      <c r="G68" s="2"/>
    </row>
    <row r="69" spans="1:10" ht="15" customHeight="1" x14ac:dyDescent="0.15">
      <c r="A69" s="85" t="s">
        <v>196</v>
      </c>
      <c r="B69" s="172" t="s">
        <v>200</v>
      </c>
      <c r="C69" s="60">
        <v>18</v>
      </c>
      <c r="D69" s="59">
        <v>3.5</v>
      </c>
      <c r="E69" s="74"/>
      <c r="F69" s="201"/>
      <c r="G69" s="2"/>
    </row>
    <row r="70" spans="1:10" s="27" customFormat="1" ht="15" customHeight="1" thickBot="1" x14ac:dyDescent="0.2">
      <c r="A70" s="198" t="s">
        <v>176</v>
      </c>
      <c r="B70" s="173" t="s">
        <v>177</v>
      </c>
      <c r="C70" s="75">
        <v>18</v>
      </c>
      <c r="D70" s="76">
        <v>3.5</v>
      </c>
      <c r="E70" s="77"/>
      <c r="F70" s="202" t="s">
        <v>182</v>
      </c>
      <c r="G70" s="1"/>
      <c r="I70" s="1"/>
      <c r="J70" s="1"/>
    </row>
    <row r="71" spans="1:10" s="27" customFormat="1" ht="15" customHeight="1" x14ac:dyDescent="0.15">
      <c r="A71" s="1"/>
      <c r="B71" s="1"/>
      <c r="C71" s="1"/>
      <c r="F71" s="1"/>
      <c r="G71" s="1"/>
      <c r="I71" s="1"/>
      <c r="J71" s="1"/>
    </row>
    <row r="72" spans="1:10" s="27" customFormat="1" ht="15.95" customHeight="1" x14ac:dyDescent="0.15">
      <c r="A72" s="2"/>
      <c r="B72" s="24"/>
      <c r="C72" s="2"/>
      <c r="D72" s="28"/>
      <c r="E72" s="12"/>
      <c r="F72" s="24"/>
      <c r="G72" s="1"/>
      <c r="I72" s="1"/>
      <c r="J72" s="1"/>
    </row>
    <row r="73" spans="1:10" s="27" customFormat="1" ht="15.95" customHeight="1" x14ac:dyDescent="0.15">
      <c r="A73" s="2"/>
      <c r="B73" s="24"/>
      <c r="C73" s="2"/>
      <c r="E73" s="12"/>
      <c r="F73" s="1"/>
      <c r="G73" s="1"/>
      <c r="I73" s="1"/>
      <c r="J73" s="1"/>
    </row>
  </sheetData>
  <mergeCells count="14">
    <mergeCell ref="C17:E17"/>
    <mergeCell ref="H17:H19"/>
    <mergeCell ref="C18:E18"/>
    <mergeCell ref="C19:E19"/>
    <mergeCell ref="A1:B1"/>
    <mergeCell ref="C1:D1"/>
    <mergeCell ref="A3:E3"/>
    <mergeCell ref="H6:H7"/>
    <mergeCell ref="C16:E16"/>
    <mergeCell ref="C20:E20"/>
    <mergeCell ref="A21:F21"/>
    <mergeCell ref="A36:F36"/>
    <mergeCell ref="H41:H43"/>
    <mergeCell ref="H66:H67"/>
  </mergeCells>
  <phoneticPr fontId="3" type="noConversion"/>
  <printOptions horizontalCentered="1"/>
  <pageMargins left="0.19685039370078741" right="0.19685039370078741" top="0.55118110236220474" bottom="0.55118110236220474" header="0" footer="0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>
    <tabColor rgb="FFFFC000"/>
  </sheetPr>
  <dimension ref="A1:E32"/>
  <sheetViews>
    <sheetView topLeftCell="A10" workbookViewId="0">
      <selection activeCell="D17" sqref="D17"/>
    </sheetView>
  </sheetViews>
  <sheetFormatPr defaultColWidth="9.33203125" defaultRowHeight="11.25" x14ac:dyDescent="0.15"/>
  <cols>
    <col min="1" max="5" width="15.83203125" style="37" customWidth="1"/>
    <col min="6" max="6" width="46.33203125" style="37" bestFit="1" customWidth="1"/>
    <col min="7" max="16384" width="9.33203125" style="37"/>
  </cols>
  <sheetData>
    <row r="1" spans="1:5" ht="18.75" x14ac:dyDescent="0.15">
      <c r="A1" s="346" t="s">
        <v>107</v>
      </c>
      <c r="B1" s="346"/>
      <c r="C1" s="346"/>
      <c r="D1" s="346"/>
    </row>
    <row r="2" spans="1:5" x14ac:dyDescent="0.15">
      <c r="C2" s="38"/>
    </row>
    <row r="3" spans="1:5" x14ac:dyDescent="0.15">
      <c r="A3" s="38" t="s">
        <v>83</v>
      </c>
      <c r="B3" s="37" t="s">
        <v>84</v>
      </c>
      <c r="C3" s="37" t="s">
        <v>85</v>
      </c>
    </row>
    <row r="4" spans="1:5" x14ac:dyDescent="0.15">
      <c r="A4" s="38" t="s">
        <v>86</v>
      </c>
      <c r="B4" s="37" t="s">
        <v>100</v>
      </c>
      <c r="C4" s="37" t="s">
        <v>91</v>
      </c>
    </row>
    <row r="5" spans="1:5" x14ac:dyDescent="0.15">
      <c r="A5" s="38" t="s">
        <v>87</v>
      </c>
      <c r="B5" s="37" t="s">
        <v>92</v>
      </c>
      <c r="C5" s="37" t="s">
        <v>101</v>
      </c>
    </row>
    <row r="6" spans="1:5" x14ac:dyDescent="0.15">
      <c r="A6" s="38" t="s">
        <v>88</v>
      </c>
      <c r="B6" s="37" t="s">
        <v>102</v>
      </c>
      <c r="C6" s="37" t="s">
        <v>103</v>
      </c>
    </row>
    <row r="7" spans="1:5" x14ac:dyDescent="0.15">
      <c r="A7" s="38" t="s">
        <v>89</v>
      </c>
      <c r="B7" s="37" t="s">
        <v>93</v>
      </c>
      <c r="C7" s="37" t="s">
        <v>94</v>
      </c>
      <c r="D7" s="37" t="s">
        <v>95</v>
      </c>
    </row>
    <row r="8" spans="1:5" x14ac:dyDescent="0.15">
      <c r="A8" s="38" t="s">
        <v>90</v>
      </c>
      <c r="B8" s="37" t="s">
        <v>96</v>
      </c>
      <c r="C8" s="37" t="s">
        <v>97</v>
      </c>
      <c r="D8" s="37" t="s">
        <v>98</v>
      </c>
      <c r="E8" s="37" t="s">
        <v>99</v>
      </c>
    </row>
    <row r="9" spans="1:5" x14ac:dyDescent="0.15">
      <c r="A9" s="38"/>
    </row>
    <row r="10" spans="1:5" s="39" customFormat="1" ht="30" customHeight="1" x14ac:dyDescent="0.15">
      <c r="A10" s="105" t="s">
        <v>108</v>
      </c>
      <c r="B10" s="106" t="s">
        <v>104</v>
      </c>
      <c r="C10" s="107" t="s">
        <v>105</v>
      </c>
      <c r="D10" s="110" t="s">
        <v>106</v>
      </c>
      <c r="E10" s="111" t="s">
        <v>88</v>
      </c>
    </row>
    <row r="11" spans="1:5" s="39" customFormat="1" ht="20.100000000000001" customHeight="1" x14ac:dyDescent="0.15">
      <c r="A11" s="103" t="s">
        <v>109</v>
      </c>
      <c r="B11" s="102">
        <v>8</v>
      </c>
      <c r="C11" s="100">
        <v>13</v>
      </c>
      <c r="D11" s="100"/>
      <c r="E11" s="101"/>
    </row>
    <row r="12" spans="1:5" s="39" customFormat="1" ht="20.100000000000001" customHeight="1" x14ac:dyDescent="0.15">
      <c r="A12" s="104" t="s">
        <v>110</v>
      </c>
      <c r="B12" s="98">
        <v>9</v>
      </c>
      <c r="C12" s="97">
        <v>14</v>
      </c>
      <c r="D12" s="97"/>
      <c r="E12" s="99"/>
    </row>
    <row r="13" spans="1:5" s="39" customFormat="1" ht="20.100000000000001" customHeight="1" x14ac:dyDescent="0.15">
      <c r="A13" s="104" t="s">
        <v>111</v>
      </c>
      <c r="B13" s="98">
        <v>10</v>
      </c>
      <c r="C13" s="97">
        <v>14</v>
      </c>
      <c r="D13" s="97"/>
      <c r="E13" s="99"/>
    </row>
    <row r="14" spans="1:5" s="39" customFormat="1" ht="20.100000000000001" customHeight="1" x14ac:dyDescent="0.15">
      <c r="A14" s="104" t="s">
        <v>112</v>
      </c>
      <c r="B14" s="98">
        <v>11</v>
      </c>
      <c r="C14" s="97">
        <v>16</v>
      </c>
      <c r="D14" s="97"/>
      <c r="E14" s="99"/>
    </row>
    <row r="15" spans="1:5" s="39" customFormat="1" ht="20.100000000000001" customHeight="1" x14ac:dyDescent="0.15">
      <c r="A15" s="104" t="s">
        <v>113</v>
      </c>
      <c r="B15" s="98">
        <v>12</v>
      </c>
      <c r="C15" s="97">
        <v>17</v>
      </c>
      <c r="D15" s="97"/>
      <c r="E15" s="99"/>
    </row>
    <row r="16" spans="1:5" s="39" customFormat="1" ht="20.100000000000001" customHeight="1" x14ac:dyDescent="0.15">
      <c r="A16" s="104" t="s">
        <v>114</v>
      </c>
      <c r="B16" s="98">
        <v>16</v>
      </c>
      <c r="C16" s="97">
        <v>22</v>
      </c>
      <c r="D16" s="97"/>
      <c r="E16" s="99"/>
    </row>
    <row r="17" spans="1:5" s="39" customFormat="1" ht="20.100000000000001" customHeight="1" x14ac:dyDescent="0.15">
      <c r="A17" s="104" t="s">
        <v>343</v>
      </c>
      <c r="B17" s="98">
        <v>17</v>
      </c>
      <c r="C17" s="97">
        <v>23</v>
      </c>
      <c r="D17" s="97"/>
      <c r="E17" s="99"/>
    </row>
    <row r="18" spans="1:5" ht="20.100000000000001" customHeight="1" x14ac:dyDescent="0.15">
      <c r="A18" s="104" t="s">
        <v>115</v>
      </c>
      <c r="B18" s="98">
        <v>15</v>
      </c>
      <c r="C18" s="97">
        <v>20</v>
      </c>
      <c r="D18" s="97"/>
      <c r="E18" s="99"/>
    </row>
    <row r="19" spans="1:5" ht="20.100000000000001" customHeight="1" x14ac:dyDescent="0.15">
      <c r="A19" s="104" t="s">
        <v>116</v>
      </c>
      <c r="B19" s="98">
        <v>17</v>
      </c>
      <c r="C19" s="97">
        <v>22</v>
      </c>
      <c r="D19" s="97"/>
      <c r="E19" s="99"/>
    </row>
    <row r="20" spans="1:5" ht="20.100000000000001" customHeight="1" x14ac:dyDescent="0.15">
      <c r="A20" s="104" t="s">
        <v>117</v>
      </c>
      <c r="B20" s="98">
        <v>19</v>
      </c>
      <c r="C20" s="97">
        <v>24</v>
      </c>
      <c r="D20" s="97"/>
      <c r="E20" s="99"/>
    </row>
    <row r="21" spans="1:5" ht="20.100000000000001" customHeight="1" x14ac:dyDescent="0.15">
      <c r="A21" s="104" t="s">
        <v>16</v>
      </c>
      <c r="B21" s="98">
        <v>14</v>
      </c>
      <c r="C21" s="97">
        <v>19</v>
      </c>
      <c r="D21" s="97"/>
      <c r="E21" s="99"/>
    </row>
    <row r="22" spans="1:5" ht="20.100000000000001" customHeight="1" x14ac:dyDescent="0.15">
      <c r="A22" s="104" t="s">
        <v>125</v>
      </c>
      <c r="B22" s="98">
        <v>21</v>
      </c>
      <c r="C22" s="97">
        <v>26</v>
      </c>
      <c r="D22" s="97"/>
      <c r="E22" s="99"/>
    </row>
    <row r="23" spans="1:5" ht="20.100000000000001" customHeight="1" x14ac:dyDescent="0.15">
      <c r="A23" s="104" t="s">
        <v>126</v>
      </c>
      <c r="B23" s="98">
        <v>22</v>
      </c>
      <c r="C23" s="97">
        <v>27</v>
      </c>
      <c r="D23" s="97"/>
      <c r="E23" s="99"/>
    </row>
    <row r="24" spans="1:5" ht="20.100000000000001" customHeight="1" x14ac:dyDescent="0.15">
      <c r="A24" s="108"/>
      <c r="B24" s="112"/>
      <c r="C24" s="113"/>
      <c r="D24" s="113"/>
      <c r="E24" s="114"/>
    </row>
    <row r="25" spans="1:5" ht="20.100000000000001" customHeight="1" x14ac:dyDescent="0.15">
      <c r="A25" s="104" t="s">
        <v>118</v>
      </c>
      <c r="B25" s="98">
        <v>16</v>
      </c>
      <c r="C25" s="97">
        <v>21</v>
      </c>
      <c r="D25" s="97"/>
      <c r="E25" s="99"/>
    </row>
    <row r="26" spans="1:5" ht="20.100000000000001" customHeight="1" x14ac:dyDescent="0.15">
      <c r="A26" s="104" t="s">
        <v>119</v>
      </c>
      <c r="B26" s="98">
        <v>17</v>
      </c>
      <c r="C26" s="97">
        <v>22</v>
      </c>
      <c r="D26" s="97"/>
      <c r="E26" s="99"/>
    </row>
    <row r="27" spans="1:5" ht="20.100000000000001" customHeight="1" x14ac:dyDescent="0.15">
      <c r="A27" s="104" t="s">
        <v>120</v>
      </c>
      <c r="B27" s="98">
        <v>19</v>
      </c>
      <c r="C27" s="97">
        <v>24</v>
      </c>
      <c r="D27" s="97"/>
      <c r="E27" s="99"/>
    </row>
    <row r="28" spans="1:5" ht="20.100000000000001" customHeight="1" x14ac:dyDescent="0.15">
      <c r="A28" s="104" t="s">
        <v>121</v>
      </c>
      <c r="B28" s="98">
        <v>15</v>
      </c>
      <c r="C28" s="97">
        <v>20</v>
      </c>
      <c r="D28" s="97"/>
      <c r="E28" s="99"/>
    </row>
    <row r="29" spans="1:5" ht="20.100000000000001" customHeight="1" x14ac:dyDescent="0.15">
      <c r="A29" s="104" t="s">
        <v>122</v>
      </c>
      <c r="B29" s="98">
        <v>16</v>
      </c>
      <c r="C29" s="97">
        <v>21</v>
      </c>
      <c r="D29" s="97"/>
      <c r="E29" s="99"/>
    </row>
    <row r="30" spans="1:5" ht="20.100000000000001" customHeight="1" x14ac:dyDescent="0.15">
      <c r="A30" s="104" t="s">
        <v>123</v>
      </c>
      <c r="B30" s="98">
        <v>17</v>
      </c>
      <c r="C30" s="97">
        <v>22</v>
      </c>
      <c r="D30" s="97"/>
      <c r="E30" s="99"/>
    </row>
    <row r="31" spans="1:5" ht="20.100000000000001" customHeight="1" x14ac:dyDescent="0.15">
      <c r="A31" s="104" t="s">
        <v>124</v>
      </c>
      <c r="B31" s="98">
        <v>18</v>
      </c>
      <c r="C31" s="97">
        <v>23</v>
      </c>
      <c r="D31" s="97"/>
      <c r="E31" s="99"/>
    </row>
    <row r="32" spans="1:5" ht="20.100000000000001" customHeight="1" x14ac:dyDescent="0.15">
      <c r="A32" s="109"/>
      <c r="B32" s="115"/>
      <c r="C32" s="116"/>
      <c r="D32" s="116"/>
      <c r="E32" s="117"/>
    </row>
  </sheetData>
  <mergeCells count="1">
    <mergeCell ref="A1:D1"/>
  </mergeCells>
  <phoneticPr fontId="3" type="noConversion"/>
  <pageMargins left="0.7" right="0.7" top="0.75" bottom="0.75" header="0.3" footer="0.3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9">
    <tabColor rgb="FFFFC000"/>
  </sheetPr>
  <dimension ref="A1:H18"/>
  <sheetViews>
    <sheetView workbookViewId="0">
      <selection activeCell="B18" sqref="B18"/>
    </sheetView>
  </sheetViews>
  <sheetFormatPr defaultColWidth="9.33203125" defaultRowHeight="11.25" x14ac:dyDescent="0.15"/>
  <cols>
    <col min="1" max="5" width="15.83203125" style="37" customWidth="1"/>
    <col min="6" max="6" width="51.1640625" style="37" bestFit="1" customWidth="1"/>
    <col min="7" max="8" width="7.83203125" style="37" customWidth="1"/>
    <col min="9" max="16384" width="9.33203125" style="37"/>
  </cols>
  <sheetData>
    <row r="1" spans="1:8" ht="18.75" x14ac:dyDescent="0.15">
      <c r="A1" s="346" t="s">
        <v>44</v>
      </c>
      <c r="B1" s="346"/>
      <c r="C1" s="346"/>
      <c r="D1" s="346"/>
    </row>
    <row r="2" spans="1:8" x14ac:dyDescent="0.15">
      <c r="C2" s="38"/>
    </row>
    <row r="3" spans="1:8" x14ac:dyDescent="0.15">
      <c r="A3" s="38" t="s">
        <v>28</v>
      </c>
    </row>
    <row r="4" spans="1:8" s="39" customFormat="1" x14ac:dyDescent="0.15">
      <c r="A4" s="40" t="s">
        <v>20</v>
      </c>
      <c r="B4" s="41" t="s">
        <v>29</v>
      </c>
      <c r="C4" s="41" t="s">
        <v>32</v>
      </c>
      <c r="D4" s="347" t="s">
        <v>30</v>
      </c>
      <c r="E4" s="347"/>
      <c r="F4" s="42" t="s">
        <v>21</v>
      </c>
      <c r="G4" s="348" t="s">
        <v>128</v>
      </c>
      <c r="H4" s="349"/>
    </row>
    <row r="5" spans="1:8" s="39" customFormat="1" x14ac:dyDescent="0.15">
      <c r="A5" s="43" t="s">
        <v>22</v>
      </c>
      <c r="B5" s="44">
        <v>3.5</v>
      </c>
      <c r="C5" s="44" t="s">
        <v>24</v>
      </c>
      <c r="D5" s="44">
        <v>267</v>
      </c>
      <c r="E5" s="44">
        <v>347</v>
      </c>
      <c r="F5" s="45" t="s">
        <v>23</v>
      </c>
      <c r="G5" s="150">
        <v>48</v>
      </c>
      <c r="H5" s="150">
        <v>61</v>
      </c>
    </row>
    <row r="6" spans="1:8" s="39" customFormat="1" x14ac:dyDescent="0.15">
      <c r="A6" s="43"/>
      <c r="B6" s="44"/>
      <c r="C6" s="44" t="s">
        <v>31</v>
      </c>
      <c r="D6" s="44" t="s">
        <v>26</v>
      </c>
      <c r="E6" s="44" t="s">
        <v>27</v>
      </c>
      <c r="F6" s="45" t="s">
        <v>25</v>
      </c>
      <c r="G6" s="150">
        <v>46</v>
      </c>
      <c r="H6" s="150">
        <v>58</v>
      </c>
    </row>
    <row r="9" spans="1:8" ht="12" x14ac:dyDescent="0.15">
      <c r="A9" s="151" t="s">
        <v>135</v>
      </c>
      <c r="B9" s="154">
        <v>7.5</v>
      </c>
      <c r="C9" s="154">
        <v>8</v>
      </c>
      <c r="D9" s="151">
        <v>8.5</v>
      </c>
      <c r="E9" s="151"/>
      <c r="F9" s="154"/>
    </row>
    <row r="10" spans="1:8" ht="12" x14ac:dyDescent="0.15">
      <c r="A10" s="151"/>
      <c r="B10" s="155">
        <f>260/B9</f>
        <v>34.666666666666664</v>
      </c>
      <c r="C10" s="155">
        <f t="shared" ref="C10:D10" si="0">260/C9</f>
        <v>32.5</v>
      </c>
      <c r="D10" s="152">
        <f t="shared" si="0"/>
        <v>30.588235294117649</v>
      </c>
      <c r="E10" s="151"/>
      <c r="F10" s="154"/>
    </row>
    <row r="11" spans="1:8" ht="12" x14ac:dyDescent="0.15">
      <c r="A11" s="151">
        <v>1500</v>
      </c>
      <c r="B11" s="156">
        <f>$B$10*A11*26</f>
        <v>1352000</v>
      </c>
      <c r="C11" s="156">
        <f>$C$10*A11*26</f>
        <v>1267500</v>
      </c>
      <c r="D11" s="153">
        <f>A11*$D$10*26</f>
        <v>1192941.1764705884</v>
      </c>
      <c r="E11" s="151"/>
      <c r="F11" s="154" t="s">
        <v>136</v>
      </c>
    </row>
    <row r="12" spans="1:8" ht="12" x14ac:dyDescent="0.15">
      <c r="A12" s="151">
        <v>1550</v>
      </c>
      <c r="B12" s="156">
        <f t="shared" ref="B12:B13" si="1">$B$10*A12*26</f>
        <v>1397066.6666666665</v>
      </c>
      <c r="C12" s="156">
        <f t="shared" ref="C12:C13" si="2">$C$10*A12*26</f>
        <v>1309750</v>
      </c>
      <c r="D12" s="153">
        <f t="shared" ref="D12:D13" si="3">A12*$D$10*26</f>
        <v>1232705.8823529412</v>
      </c>
      <c r="E12" s="151"/>
      <c r="F12" s="154"/>
    </row>
    <row r="13" spans="1:8" ht="12" x14ac:dyDescent="0.15">
      <c r="A13" s="151">
        <v>1600</v>
      </c>
      <c r="B13" s="156">
        <f t="shared" si="1"/>
        <v>1442133.3333333333</v>
      </c>
      <c r="C13" s="156">
        <f t="shared" si="2"/>
        <v>1352000</v>
      </c>
      <c r="D13" s="153">
        <f t="shared" si="3"/>
        <v>1272470.5882352942</v>
      </c>
      <c r="E13" s="151"/>
      <c r="F13" s="154"/>
    </row>
    <row r="14" spans="1:8" ht="12" x14ac:dyDescent="0.15">
      <c r="A14" s="151"/>
      <c r="B14" s="154"/>
      <c r="C14" s="154"/>
      <c r="D14" s="151"/>
      <c r="E14" s="151"/>
      <c r="F14" s="154"/>
    </row>
    <row r="15" spans="1:8" ht="12" x14ac:dyDescent="0.15">
      <c r="A15" s="151"/>
      <c r="B15" s="154"/>
      <c r="C15" s="154"/>
      <c r="D15" s="151"/>
      <c r="E15" s="151"/>
      <c r="F15" s="151"/>
    </row>
    <row r="16" spans="1:8" ht="12" x14ac:dyDescent="0.15">
      <c r="A16" s="151"/>
      <c r="B16" s="154"/>
      <c r="C16" s="154"/>
      <c r="D16" s="151"/>
      <c r="E16" s="151"/>
      <c r="F16" s="151"/>
    </row>
    <row r="17" spans="1:6" ht="12" x14ac:dyDescent="0.15">
      <c r="A17" s="151"/>
      <c r="B17" s="154"/>
      <c r="C17" s="154"/>
      <c r="D17" s="151"/>
      <c r="E17" s="151"/>
      <c r="F17" s="151"/>
    </row>
    <row r="18" spans="1:6" ht="12" x14ac:dyDescent="0.15">
      <c r="A18" s="151"/>
      <c r="B18" s="154"/>
      <c r="C18" s="154"/>
      <c r="D18" s="151"/>
      <c r="E18" s="151"/>
      <c r="F18" s="151"/>
    </row>
  </sheetData>
  <mergeCells count="3">
    <mergeCell ref="D4:E4"/>
    <mergeCell ref="A1:D1"/>
    <mergeCell ref="G4:H4"/>
  </mergeCells>
  <phoneticPr fontId="3" type="noConversion"/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1월</vt:lpstr>
      <vt:lpstr>운임및AR</vt:lpstr>
      <vt:lpstr>2026</vt:lpstr>
      <vt:lpstr>12월</vt:lpstr>
      <vt:lpstr>이룸용차비</vt:lpstr>
      <vt:lpstr>고정비차량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USER</cp:lastModifiedBy>
  <cp:lastPrinted>2023-11-22T06:56:05Z</cp:lastPrinted>
  <dcterms:created xsi:type="dcterms:W3CDTF">2018-12-26T04:51:02Z</dcterms:created>
  <dcterms:modified xsi:type="dcterms:W3CDTF">2026-02-09T09:52:31Z</dcterms:modified>
</cp:coreProperties>
</file>